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53222"/>
  <mc:AlternateContent xmlns:mc="http://schemas.openxmlformats.org/markup-compatibility/2006">
    <mc:Choice Requires="x15">
      <x15ac:absPath xmlns:x15ac="http://schemas.microsoft.com/office/spreadsheetml/2010/11/ac" url="C:\Users\usuario\Proyectos python\"/>
    </mc:Choice>
  </mc:AlternateContent>
  <bookViews>
    <workbookView xWindow="0" yWindow="0" windowWidth="28800" windowHeight="13020" tabRatio="862" firstSheet="16" activeTab="17"/>
  </bookViews>
  <sheets>
    <sheet name="Generales" sheetId="21" state="hidden" r:id="rId1"/>
    <sheet name="Liquidación Laboral" sheetId="17" state="hidden" r:id="rId2"/>
    <sheet name="Calendario Tributario" sheetId="18" state="hidden" r:id="rId3"/>
    <sheet name="Resoluciones de Tarifas" sheetId="19" state="hidden" r:id="rId4"/>
    <sheet name="Recaudo" sheetId="1" state="hidden" r:id="rId5"/>
    <sheet name="Fondo (Recaudo + Aporte)" sheetId="2" state="hidden" r:id="rId6"/>
    <sheet name="Admin. Justicia" sheetId="9" state="hidden" r:id="rId7"/>
    <sheet name="10% RC" sheetId="11" state="hidden" r:id="rId8"/>
    <sheet name="Retefuente" sheetId="3" state="hidden" r:id="rId9"/>
    <sheet name="APORTE ESPE" sheetId="15" state="hidden" r:id="rId10"/>
    <sheet name="IVA - Bimestral" sheetId="16" state="hidden" r:id="rId11"/>
    <sheet name="IVA - Cuatrimestral" sheetId="4" state="hidden" r:id="rId12"/>
    <sheet name="EXOGENA" sheetId="14" state="hidden" r:id="rId13"/>
    <sheet name="Ind. Comercio" sheetId="10" state="hidden" r:id="rId14"/>
    <sheet name="Impuesto Timbre" sheetId="20" state="hidden" r:id="rId15"/>
    <sheet name="Liquidador" sheetId="25" state="hidden" r:id="rId16"/>
    <sheet name="Hoja de control" sheetId="36" r:id="rId17"/>
    <sheet name="Servicios por cuantia" sheetId="38" r:id="rId18"/>
    <sheet name="Hoja1" sheetId="37" r:id="rId19"/>
    <sheet name="2024" sheetId="26" state="hidden" r:id="rId20"/>
    <sheet name="Formato 2B RC" sheetId="12" state="hidden" r:id="rId21"/>
    <sheet name="Reporte ICBF-Otros" sheetId="13" state="hidden" r:id="rId2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12" i="25" l="1"/>
  <c r="D10" i="25"/>
  <c r="E10" i="25"/>
  <c r="H3" i="37"/>
  <c r="G3" i="37"/>
  <c r="H7" i="37"/>
  <c r="G7" i="37"/>
  <c r="E7" i="37"/>
  <c r="H6" i="37"/>
  <c r="G6" i="37"/>
  <c r="U5" i="37"/>
  <c r="T5" i="37"/>
  <c r="H5" i="37"/>
  <c r="G5" i="37"/>
  <c r="U4" i="37"/>
  <c r="T4" i="37"/>
  <c r="H4" i="37"/>
  <c r="G4" i="37"/>
  <c r="U3" i="37"/>
  <c r="T3" i="37"/>
  <c r="U2" i="37"/>
  <c r="T2" i="37"/>
  <c r="E13" i="25"/>
  <c r="E12" i="25" l="1"/>
  <c r="D8" i="25"/>
  <c r="E23" i="25" s="1"/>
  <c r="B45" i="2"/>
  <c r="E47" i="11"/>
  <c r="B11" i="17"/>
  <c r="E151" i="25"/>
  <c r="E142" i="25"/>
  <c r="E135" i="25"/>
  <c r="E133" i="25"/>
  <c r="E131" i="25"/>
  <c r="E72" i="25"/>
  <c r="E59" i="25"/>
  <c r="E58" i="25"/>
  <c r="E46" i="25"/>
  <c r="E49" i="25"/>
  <c r="E42" i="25"/>
  <c r="E43" i="25"/>
  <c r="E39" i="25"/>
  <c r="E38" i="25"/>
  <c r="E36" i="25"/>
  <c r="E35" i="25"/>
  <c r="E32" i="25"/>
  <c r="I18" i="25"/>
  <c r="I19" i="25"/>
  <c r="I12" i="25"/>
  <c r="J12" i="25" s="1"/>
  <c r="E31" i="25"/>
  <c r="E30" i="25"/>
  <c r="E27" i="25"/>
  <c r="E26" i="25"/>
  <c r="E19" i="25"/>
  <c r="D15" i="25"/>
  <c r="D17" i="25" s="1"/>
  <c r="E40" i="25"/>
  <c r="E37" i="25"/>
  <c r="B10" i="17"/>
  <c r="E18" i="17"/>
  <c r="I4" i="26"/>
  <c r="J4" i="26"/>
  <c r="I5" i="26"/>
  <c r="J5" i="26" s="1"/>
  <c r="J6" i="26"/>
  <c r="I10" i="26"/>
  <c r="J10" i="26" s="1"/>
  <c r="I11" i="26"/>
  <c r="J11" i="26" s="1"/>
  <c r="K11" i="26"/>
  <c r="D12" i="26"/>
  <c r="E12" i="26"/>
  <c r="E13" i="26" a="1"/>
  <c r="E13" i="26" s="1"/>
  <c r="D17" i="26"/>
  <c r="D19" i="26" s="1"/>
  <c r="E19" i="26" s="1"/>
  <c r="E17" i="26"/>
  <c r="E24" i="26"/>
  <c r="E67" i="26"/>
  <c r="E80" i="26"/>
  <c r="E84" i="26"/>
  <c r="E86" i="26"/>
  <c r="E155" i="26"/>
  <c r="E157" i="26"/>
  <c r="E158" i="26"/>
  <c r="E159" i="26"/>
  <c r="E160" i="26"/>
  <c r="E161" i="26"/>
  <c r="E162" i="26"/>
  <c r="E163" i="26"/>
  <c r="K12" i="25"/>
  <c r="E79" i="25"/>
  <c r="E83" i="25"/>
  <c r="E85" i="25"/>
  <c r="B19" i="17"/>
  <c r="B18" i="17"/>
  <c r="B17" i="17"/>
  <c r="B16" i="17"/>
  <c r="B7" i="17"/>
  <c r="B9" i="17"/>
  <c r="D11" i="20"/>
  <c r="E10" i="20" s="1"/>
  <c r="J6" i="20"/>
  <c r="I6" i="20"/>
  <c r="I23" i="25"/>
  <c r="I22" i="25"/>
  <c r="J18" i="25" l="1"/>
  <c r="J19" i="25"/>
  <c r="E154" i="25"/>
  <c r="E156" i="25"/>
  <c r="E157" i="25"/>
  <c r="E158" i="25"/>
  <c r="E159" i="25"/>
  <c r="E160" i="25"/>
  <c r="E161" i="25"/>
  <c r="E162" i="25"/>
  <c r="E66" i="25"/>
  <c r="E15" i="25"/>
  <c r="E17" i="25" s="1"/>
  <c r="I3" i="26"/>
  <c r="J3" i="26" s="1"/>
  <c r="L24" i="26"/>
  <c r="N24" i="26" s="1"/>
  <c r="E20" i="26"/>
  <c r="E12" i="20"/>
  <c r="D12" i="20"/>
  <c r="E18" i="25"/>
  <c r="J9" i="25" l="1"/>
  <c r="J7" i="25"/>
  <c r="J25" i="26"/>
  <c r="K3" i="26"/>
  <c r="J29" i="26" s="1"/>
  <c r="J7" i="26"/>
  <c r="E13" i="20"/>
  <c r="G14" i="20" s="1"/>
  <c r="D13" i="20"/>
  <c r="E14" i="20" s="1"/>
  <c r="J6" i="25" l="1"/>
  <c r="J8" i="25"/>
  <c r="J8" i="26"/>
  <c r="J9" i="26" s="1"/>
  <c r="K57" i="15"/>
  <c r="J41" i="9" l="1"/>
  <c r="K24" i="4"/>
  <c r="K23" i="4"/>
  <c r="K22" i="4"/>
  <c r="K21" i="4"/>
  <c r="K19" i="4"/>
  <c r="K20" i="4"/>
  <c r="M93" i="2"/>
  <c r="I89" i="2"/>
  <c r="H89" i="2" s="1"/>
  <c r="L72" i="1"/>
  <c r="F60" i="2"/>
  <c r="F61" i="2"/>
  <c r="F62" i="2"/>
  <c r="F63" i="2"/>
  <c r="F64" i="2"/>
  <c r="F65" i="2"/>
  <c r="F66" i="2"/>
  <c r="F67" i="2"/>
  <c r="F68" i="2"/>
  <c r="F69" i="2"/>
  <c r="F70" i="2"/>
  <c r="F59" i="2"/>
  <c r="M64" i="2"/>
  <c r="L57" i="1"/>
  <c r="L42" i="1"/>
  <c r="M40" i="2"/>
  <c r="I34" i="1"/>
  <c r="F17" i="2"/>
  <c r="I17" i="2"/>
  <c r="C18" i="2"/>
  <c r="C19" i="2"/>
  <c r="C20" i="2"/>
  <c r="C21" i="2"/>
  <c r="C22" i="2"/>
  <c r="C23" i="2"/>
  <c r="C24" i="2"/>
  <c r="C25" i="2"/>
  <c r="C17" i="2"/>
  <c r="D17" i="2" s="1"/>
  <c r="M17" i="2"/>
  <c r="C6" i="14"/>
  <c r="F90" i="2" l="1"/>
  <c r="F91" i="2"/>
  <c r="F92" i="2"/>
  <c r="F93" i="2"/>
  <c r="F94" i="2"/>
  <c r="F95" i="2"/>
  <c r="F96" i="2"/>
  <c r="F97" i="2"/>
  <c r="F98" i="2"/>
  <c r="F99" i="2"/>
  <c r="F100" i="2"/>
  <c r="F89" i="2"/>
  <c r="F75" i="2"/>
  <c r="F76" i="2"/>
  <c r="F77" i="2"/>
  <c r="F78" i="2"/>
  <c r="F79" i="2"/>
  <c r="F80" i="2"/>
  <c r="F81" i="2"/>
  <c r="F82" i="2"/>
  <c r="F83" i="2"/>
  <c r="F84" i="2"/>
  <c r="F85" i="2"/>
  <c r="F74" i="2"/>
  <c r="F37" i="15"/>
  <c r="G46" i="1"/>
  <c r="C54" i="2"/>
  <c r="E54" i="2" s="1"/>
  <c r="C53" i="2"/>
  <c r="F53" i="2"/>
  <c r="F54" i="2"/>
  <c r="F55" i="2"/>
  <c r="F52" i="2"/>
  <c r="C52" i="2"/>
  <c r="E52" i="2" s="1"/>
  <c r="F49" i="15"/>
  <c r="F48" i="15"/>
  <c r="E54" i="11" l="1"/>
  <c r="E63" i="1"/>
  <c r="C55" i="2"/>
  <c r="E55" i="2" s="1"/>
  <c r="M66" i="2"/>
  <c r="M80" i="1"/>
  <c r="M81" i="1"/>
  <c r="N51" i="1"/>
  <c r="F41" i="15" l="1"/>
  <c r="F59" i="15"/>
  <c r="G74" i="2"/>
  <c r="G91" i="1" l="1"/>
  <c r="G76" i="1"/>
  <c r="G61" i="1"/>
  <c r="F7" i="17"/>
  <c r="G7" i="17"/>
  <c r="H7" i="17"/>
  <c r="I7" i="17"/>
  <c r="J7" i="17"/>
  <c r="K7" i="17"/>
  <c r="L7" i="17"/>
  <c r="J15" i="9"/>
  <c r="J16" i="9"/>
  <c r="J17" i="9"/>
  <c r="J18" i="9"/>
  <c r="J19" i="9"/>
  <c r="J23" i="9"/>
  <c r="J24" i="9"/>
  <c r="J25" i="9"/>
  <c r="J26" i="9"/>
  <c r="J27" i="9"/>
  <c r="J28" i="9"/>
  <c r="J29" i="9"/>
  <c r="J30" i="9"/>
  <c r="J31" i="9"/>
  <c r="J32" i="9"/>
  <c r="J33" i="9"/>
  <c r="J34" i="9"/>
  <c r="J38" i="9"/>
  <c r="J39" i="9"/>
  <c r="J40" i="9"/>
  <c r="J42" i="9"/>
  <c r="J43" i="9"/>
  <c r="J44" i="9"/>
  <c r="J45" i="9"/>
  <c r="J46" i="9"/>
  <c r="J47" i="9"/>
  <c r="J48" i="9"/>
  <c r="J49" i="9"/>
  <c r="J53" i="9"/>
  <c r="J54" i="9"/>
  <c r="J55" i="9"/>
  <c r="J56" i="9"/>
  <c r="J57" i="9"/>
  <c r="J58" i="9"/>
  <c r="J59" i="9"/>
  <c r="J60" i="9"/>
  <c r="J61" i="9"/>
  <c r="J62" i="9"/>
  <c r="J63" i="9"/>
  <c r="J64" i="9"/>
  <c r="J68" i="9"/>
  <c r="J69" i="9"/>
  <c r="J70" i="9"/>
  <c r="J71" i="9"/>
  <c r="J72" i="9"/>
  <c r="J73" i="9"/>
  <c r="J74" i="9"/>
  <c r="J75" i="9"/>
  <c r="J76" i="9"/>
  <c r="J77" i="9"/>
  <c r="J78" i="9"/>
  <c r="J79" i="9"/>
  <c r="J83" i="9"/>
  <c r="J84" i="9"/>
  <c r="J85" i="9"/>
  <c r="J86" i="9"/>
  <c r="J87" i="9"/>
  <c r="J88" i="9"/>
  <c r="J89" i="9"/>
  <c r="J90" i="9"/>
  <c r="J91" i="9"/>
  <c r="J92" i="9"/>
  <c r="J93" i="9"/>
  <c r="J94" i="9"/>
  <c r="J98" i="9"/>
  <c r="J99" i="9"/>
  <c r="J100" i="9"/>
  <c r="J101" i="9"/>
  <c r="J102" i="9"/>
  <c r="J103" i="9"/>
  <c r="J104" i="9"/>
  <c r="J105" i="9"/>
  <c r="J106" i="9"/>
  <c r="J107" i="9"/>
  <c r="J108" i="9"/>
  <c r="J109" i="9"/>
  <c r="J14" i="9"/>
  <c r="F15" i="9"/>
  <c r="F16" i="9"/>
  <c r="F17" i="9"/>
  <c r="F18" i="9"/>
  <c r="F19" i="9"/>
  <c r="F14" i="9"/>
  <c r="F99" i="9"/>
  <c r="F100" i="9"/>
  <c r="F101" i="9"/>
  <c r="F102" i="9"/>
  <c r="F103" i="9"/>
  <c r="F104" i="9"/>
  <c r="F105" i="9"/>
  <c r="F106" i="9"/>
  <c r="F107" i="9"/>
  <c r="F108" i="9"/>
  <c r="F109" i="9"/>
  <c r="E90" i="11"/>
  <c r="E91" i="11"/>
  <c r="E92" i="11"/>
  <c r="E93" i="11"/>
  <c r="E94" i="11"/>
  <c r="E95" i="11"/>
  <c r="E96" i="11"/>
  <c r="E97" i="11"/>
  <c r="E98" i="11"/>
  <c r="E99" i="11"/>
  <c r="I7" i="2"/>
  <c r="H7" i="2" s="1"/>
  <c r="M97" i="1"/>
  <c r="O97" i="1" s="1"/>
  <c r="P97" i="1" s="1"/>
  <c r="M96" i="1"/>
  <c r="O96" i="1" s="1"/>
  <c r="P96" i="1" s="1"/>
  <c r="M95" i="1"/>
  <c r="O95" i="1" s="1"/>
  <c r="P95" i="1" s="1"/>
  <c r="M94" i="1"/>
  <c r="O94" i="1" s="1"/>
  <c r="P94" i="1" s="1"/>
  <c r="M93" i="1"/>
  <c r="M92" i="1"/>
  <c r="O92" i="1" s="1"/>
  <c r="P92" i="1" s="1"/>
  <c r="M91" i="1"/>
  <c r="O91" i="1" s="1"/>
  <c r="M79" i="1"/>
  <c r="O79" i="1" s="1"/>
  <c r="P79" i="1" s="1"/>
  <c r="M78" i="1"/>
  <c r="O78" i="1" s="1"/>
  <c r="P78" i="1" s="1"/>
  <c r="M77" i="1"/>
  <c r="O77" i="1" s="1"/>
  <c r="P77" i="1" s="1"/>
  <c r="M76" i="1"/>
  <c r="O76" i="1" s="1"/>
  <c r="P76" i="1" s="1"/>
  <c r="M75" i="1"/>
  <c r="O75" i="1" s="1"/>
  <c r="M66" i="1"/>
  <c r="O66" i="1" s="1"/>
  <c r="P66" i="1" s="1"/>
  <c r="M65" i="1"/>
  <c r="O65" i="1" s="1"/>
  <c r="P65" i="1" s="1"/>
  <c r="M64" i="1"/>
  <c r="O64" i="1" s="1"/>
  <c r="P64" i="1" s="1"/>
  <c r="M63" i="1"/>
  <c r="O63" i="1" s="1"/>
  <c r="P63" i="1" s="1"/>
  <c r="M62" i="1"/>
  <c r="O62" i="1" s="1"/>
  <c r="P62" i="1" s="1"/>
  <c r="M61" i="1"/>
  <c r="O61" i="1" s="1"/>
  <c r="P61" i="1" s="1"/>
  <c r="M60" i="1"/>
  <c r="O60" i="1" s="1"/>
  <c r="M50" i="1"/>
  <c r="O50" i="1" s="1"/>
  <c r="P50" i="1" s="1"/>
  <c r="M49" i="1"/>
  <c r="O49" i="1" s="1"/>
  <c r="P49" i="1" s="1"/>
  <c r="M48" i="1"/>
  <c r="O48" i="1" s="1"/>
  <c r="P48" i="1" s="1"/>
  <c r="M47" i="1"/>
  <c r="O47" i="1" s="1"/>
  <c r="P47" i="1" s="1"/>
  <c r="M46" i="1"/>
  <c r="O46" i="1" s="1"/>
  <c r="P46" i="1" s="1"/>
  <c r="M45" i="1"/>
  <c r="O45" i="1" s="1"/>
  <c r="P45" i="1" s="1"/>
  <c r="M44" i="1"/>
  <c r="M36" i="1"/>
  <c r="O36" i="1" s="1"/>
  <c r="P36" i="1" s="1"/>
  <c r="M35" i="1"/>
  <c r="M34" i="1"/>
  <c r="M33" i="1"/>
  <c r="O33" i="1" s="1"/>
  <c r="P33" i="1" s="1"/>
  <c r="M32" i="1"/>
  <c r="M31" i="1"/>
  <c r="O31" i="1" s="1"/>
  <c r="P31" i="1" s="1"/>
  <c r="M30" i="1"/>
  <c r="O30" i="1" s="1"/>
  <c r="N98" i="1"/>
  <c r="O93" i="1"/>
  <c r="P93" i="1" s="1"/>
  <c r="N82" i="1"/>
  <c r="O81" i="1"/>
  <c r="P81" i="1" s="1"/>
  <c r="O80" i="1"/>
  <c r="P80" i="1" s="1"/>
  <c r="N67" i="1"/>
  <c r="O44" i="1"/>
  <c r="N37" i="1"/>
  <c r="O35" i="1"/>
  <c r="P35" i="1" s="1"/>
  <c r="O34" i="1"/>
  <c r="P34" i="1" s="1"/>
  <c r="O32" i="1"/>
  <c r="P32" i="1" s="1"/>
  <c r="O3" i="1"/>
  <c r="P3" i="1"/>
  <c r="O4" i="1"/>
  <c r="P4" i="1" s="1"/>
  <c r="O5" i="1"/>
  <c r="O10" i="1" s="1"/>
  <c r="O6" i="1"/>
  <c r="P6" i="1"/>
  <c r="O7" i="1"/>
  <c r="P7" i="1" s="1"/>
  <c r="O8" i="1"/>
  <c r="P8" i="1" s="1"/>
  <c r="O9" i="1"/>
  <c r="P9" i="1"/>
  <c r="N10" i="1"/>
  <c r="M21" i="1"/>
  <c r="O21" i="1" s="1"/>
  <c r="M20" i="1"/>
  <c r="M19" i="1"/>
  <c r="M18" i="1"/>
  <c r="M17" i="1"/>
  <c r="M16" i="1"/>
  <c r="M15" i="1"/>
  <c r="F4" i="16"/>
  <c r="F5" i="16"/>
  <c r="F3" i="16"/>
  <c r="E4" i="4"/>
  <c r="F4" i="4" s="1"/>
  <c r="H91" i="3"/>
  <c r="H92" i="3"/>
  <c r="H93" i="3"/>
  <c r="H94" i="3"/>
  <c r="H95" i="3"/>
  <c r="H96" i="3"/>
  <c r="H97" i="3"/>
  <c r="H98" i="3"/>
  <c r="H99" i="3"/>
  <c r="H100" i="3"/>
  <c r="H101" i="3"/>
  <c r="H90" i="3"/>
  <c r="H76" i="3"/>
  <c r="H77" i="3"/>
  <c r="H78" i="3"/>
  <c r="H80" i="3"/>
  <c r="H81" i="3"/>
  <c r="H82" i="3"/>
  <c r="H84" i="3"/>
  <c r="H85" i="3"/>
  <c r="H86" i="3"/>
  <c r="H46" i="3"/>
  <c r="H47" i="3"/>
  <c r="H48" i="3"/>
  <c r="H49" i="3"/>
  <c r="H50" i="3"/>
  <c r="H51" i="3"/>
  <c r="H52" i="3"/>
  <c r="H53" i="3"/>
  <c r="H45" i="3"/>
  <c r="H31" i="3"/>
  <c r="H32" i="3"/>
  <c r="H33" i="3"/>
  <c r="H34" i="3"/>
  <c r="H35" i="3"/>
  <c r="H36" i="3"/>
  <c r="H37" i="3"/>
  <c r="H38" i="3"/>
  <c r="H39" i="3"/>
  <c r="H40" i="3"/>
  <c r="H41" i="3"/>
  <c r="H30" i="3"/>
  <c r="H16" i="3"/>
  <c r="H17" i="3"/>
  <c r="H18" i="3"/>
  <c r="H19" i="3"/>
  <c r="H20" i="3"/>
  <c r="H21" i="3"/>
  <c r="H22" i="3"/>
  <c r="H23" i="3"/>
  <c r="H24" i="3"/>
  <c r="H25" i="3"/>
  <c r="H26" i="3"/>
  <c r="H15" i="3"/>
  <c r="H7" i="3"/>
  <c r="H8" i="3"/>
  <c r="H9" i="3"/>
  <c r="H10" i="3"/>
  <c r="H11" i="3"/>
  <c r="H6" i="3"/>
  <c r="E91" i="1"/>
  <c r="G90" i="2" s="1"/>
  <c r="E92" i="1"/>
  <c r="G91" i="2" s="1"/>
  <c r="E93" i="1"/>
  <c r="G92" i="2" s="1"/>
  <c r="E94" i="1"/>
  <c r="G93" i="2" s="1"/>
  <c r="E95" i="1"/>
  <c r="G94" i="2" s="1"/>
  <c r="E96" i="1"/>
  <c r="G95" i="2" s="1"/>
  <c r="E97" i="1"/>
  <c r="G96" i="2" s="1"/>
  <c r="E98" i="1"/>
  <c r="G97" i="2" s="1"/>
  <c r="E99" i="1"/>
  <c r="G98" i="2" s="1"/>
  <c r="E100" i="1"/>
  <c r="G99" i="2" s="1"/>
  <c r="E101" i="1"/>
  <c r="G100" i="2" s="1"/>
  <c r="G89" i="2"/>
  <c r="G75" i="2"/>
  <c r="E77" i="1"/>
  <c r="G76" i="2" s="1"/>
  <c r="E78" i="1"/>
  <c r="G77" i="2" s="1"/>
  <c r="E79" i="1"/>
  <c r="G78" i="2" s="1"/>
  <c r="E80" i="1"/>
  <c r="G79" i="2" s="1"/>
  <c r="E81" i="1"/>
  <c r="G80" i="2" s="1"/>
  <c r="E82" i="1"/>
  <c r="G81" i="2" s="1"/>
  <c r="E83" i="1"/>
  <c r="G82" i="2" s="1"/>
  <c r="E84" i="1"/>
  <c r="G83" i="2" s="1"/>
  <c r="E85" i="1"/>
  <c r="G84" i="2" s="1"/>
  <c r="E86" i="1"/>
  <c r="G85" i="2" s="1"/>
  <c r="E61" i="1"/>
  <c r="G60" i="2" s="1"/>
  <c r="E62" i="1"/>
  <c r="G61" i="2" s="1"/>
  <c r="G62" i="2"/>
  <c r="E64" i="1"/>
  <c r="G63" i="2" s="1"/>
  <c r="E65" i="1"/>
  <c r="G64" i="2" s="1"/>
  <c r="E66" i="1"/>
  <c r="G65" i="2" s="1"/>
  <c r="E67" i="1"/>
  <c r="G66" i="2" s="1"/>
  <c r="E68" i="1"/>
  <c r="G67" i="2" s="1"/>
  <c r="E69" i="1"/>
  <c r="G68" i="2" s="1"/>
  <c r="E70" i="1"/>
  <c r="G69" i="2" s="1"/>
  <c r="E71" i="1"/>
  <c r="G70" i="2" s="1"/>
  <c r="G59" i="2"/>
  <c r="E46" i="1"/>
  <c r="G45" i="2" s="1"/>
  <c r="E47" i="1"/>
  <c r="G46" i="2" s="1"/>
  <c r="E48" i="1"/>
  <c r="G47" i="2" s="1"/>
  <c r="E49" i="1"/>
  <c r="G48" i="2" s="1"/>
  <c r="E50" i="1"/>
  <c r="G49" i="2" s="1"/>
  <c r="E51" i="1"/>
  <c r="G50" i="2" s="1"/>
  <c r="E52" i="1"/>
  <c r="G51" i="2" s="1"/>
  <c r="E53" i="1"/>
  <c r="G52" i="2" s="1"/>
  <c r="E54" i="1"/>
  <c r="G53" i="2" s="1"/>
  <c r="E55" i="1"/>
  <c r="G54" i="2" s="1"/>
  <c r="E56" i="1"/>
  <c r="G55" i="2" s="1"/>
  <c r="E45" i="1"/>
  <c r="G44" i="2" s="1"/>
  <c r="E4" i="1"/>
  <c r="G2" i="2" s="1"/>
  <c r="E31" i="1"/>
  <c r="G30" i="2" s="1"/>
  <c r="E32" i="1"/>
  <c r="G31" i="2" s="1"/>
  <c r="E33" i="1"/>
  <c r="G32" i="2" s="1"/>
  <c r="E34" i="1"/>
  <c r="G33" i="2" s="1"/>
  <c r="E35" i="1"/>
  <c r="G34" i="2" s="1"/>
  <c r="E36" i="1"/>
  <c r="G35" i="2" s="1"/>
  <c r="E37" i="1"/>
  <c r="G36" i="2" s="1"/>
  <c r="E38" i="1"/>
  <c r="G37" i="2" s="1"/>
  <c r="E39" i="1"/>
  <c r="G38" i="2" s="1"/>
  <c r="E40" i="1"/>
  <c r="G39" i="2" s="1"/>
  <c r="E41" i="1"/>
  <c r="G40" i="2" s="1"/>
  <c r="E30" i="1"/>
  <c r="G29" i="2" s="1"/>
  <c r="E15" i="1"/>
  <c r="G14" i="2" s="1"/>
  <c r="E16" i="1"/>
  <c r="G15" i="2" s="1"/>
  <c r="E17" i="1"/>
  <c r="G16" i="2" s="1"/>
  <c r="E18" i="1"/>
  <c r="G17" i="2" s="1"/>
  <c r="E19" i="1"/>
  <c r="G18" i="2" s="1"/>
  <c r="E20" i="1"/>
  <c r="G19" i="2" s="1"/>
  <c r="E21" i="1"/>
  <c r="G20" i="2" s="1"/>
  <c r="E22" i="1"/>
  <c r="G21" i="2" s="1"/>
  <c r="E23" i="1"/>
  <c r="G22" i="2" s="1"/>
  <c r="E24" i="1"/>
  <c r="G23" i="2" s="1"/>
  <c r="E25" i="1"/>
  <c r="G24" i="2" s="1"/>
  <c r="E26" i="1"/>
  <c r="G25" i="2" s="1"/>
  <c r="E14" i="1"/>
  <c r="G13" i="2" s="1"/>
  <c r="E5" i="1"/>
  <c r="G3" i="2" s="1"/>
  <c r="E6" i="1"/>
  <c r="G4" i="2" s="1"/>
  <c r="E7" i="1"/>
  <c r="G5" i="2" s="1"/>
  <c r="E8" i="1"/>
  <c r="G6" i="2" s="1"/>
  <c r="E9" i="1"/>
  <c r="G7" i="2" s="1"/>
  <c r="F67" i="15"/>
  <c r="F73" i="15"/>
  <c r="F72" i="15"/>
  <c r="F71" i="15"/>
  <c r="F70" i="15"/>
  <c r="F69" i="15"/>
  <c r="F68" i="15"/>
  <c r="F63" i="15"/>
  <c r="F62" i="15"/>
  <c r="F61" i="15"/>
  <c r="F60" i="15"/>
  <c r="F58" i="15"/>
  <c r="F57" i="15"/>
  <c r="F53" i="15"/>
  <c r="F52" i="15"/>
  <c r="F51" i="15"/>
  <c r="F50" i="15"/>
  <c r="F47" i="15"/>
  <c r="F43" i="15"/>
  <c r="F42" i="15"/>
  <c r="F40" i="15"/>
  <c r="F39" i="15"/>
  <c r="F38" i="15"/>
  <c r="F32" i="15"/>
  <c r="F31" i="15"/>
  <c r="F30" i="15"/>
  <c r="F29" i="15"/>
  <c r="F28" i="15"/>
  <c r="F27" i="15"/>
  <c r="F26" i="15"/>
  <c r="F25" i="15"/>
  <c r="F21" i="15"/>
  <c r="F20" i="15"/>
  <c r="F19" i="15"/>
  <c r="F18" i="15"/>
  <c r="F17" i="15"/>
  <c r="F16" i="15"/>
  <c r="F15" i="15"/>
  <c r="F14" i="15"/>
  <c r="F3" i="15"/>
  <c r="F4" i="15"/>
  <c r="F5" i="15"/>
  <c r="F6" i="15"/>
  <c r="F7" i="15"/>
  <c r="F8" i="15"/>
  <c r="F9" i="15"/>
  <c r="F10" i="15"/>
  <c r="F2" i="15"/>
  <c r="K67" i="15"/>
  <c r="M2" i="2"/>
  <c r="N2" i="2" s="1"/>
  <c r="I3" i="2"/>
  <c r="H3" i="2" s="1"/>
  <c r="M3" i="2"/>
  <c r="I4" i="2"/>
  <c r="H4" i="2" s="1"/>
  <c r="M4" i="2"/>
  <c r="I5" i="2"/>
  <c r="H5" i="2" s="1"/>
  <c r="M5" i="2"/>
  <c r="I6" i="2"/>
  <c r="H6" i="2" s="1"/>
  <c r="M6" i="2"/>
  <c r="M7" i="2"/>
  <c r="I97" i="1"/>
  <c r="I98" i="1"/>
  <c r="I99" i="1"/>
  <c r="I100" i="1"/>
  <c r="I101" i="1"/>
  <c r="G3" i="1"/>
  <c r="I2" i="2" s="1"/>
  <c r="F30" i="2"/>
  <c r="F31" i="2"/>
  <c r="F32" i="2"/>
  <c r="F33" i="2"/>
  <c r="F34" i="2"/>
  <c r="F35" i="2"/>
  <c r="F36" i="2"/>
  <c r="F37" i="2"/>
  <c r="F38" i="2"/>
  <c r="F39" i="2"/>
  <c r="F40" i="2"/>
  <c r="F14" i="2"/>
  <c r="F15" i="2"/>
  <c r="F16" i="2"/>
  <c r="F18" i="2"/>
  <c r="F19" i="2"/>
  <c r="F20" i="2"/>
  <c r="F21" i="2"/>
  <c r="F22" i="2"/>
  <c r="F23" i="2"/>
  <c r="F24" i="2"/>
  <c r="F25" i="2"/>
  <c r="F13" i="2"/>
  <c r="E14" i="2"/>
  <c r="E15" i="2"/>
  <c r="E13" i="2"/>
  <c r="D4" i="21"/>
  <c r="E4" i="21" s="1"/>
  <c r="F20" i="19"/>
  <c r="F19" i="19"/>
  <c r="F18" i="19"/>
  <c r="F17" i="19"/>
  <c r="F16" i="19"/>
  <c r="F15" i="19"/>
  <c r="F14" i="19"/>
  <c r="F13" i="19"/>
  <c r="F12" i="19"/>
  <c r="F11" i="19"/>
  <c r="F10" i="19"/>
  <c r="F9" i="19"/>
  <c r="F8" i="19"/>
  <c r="F7" i="19"/>
  <c r="F6" i="19"/>
  <c r="F5" i="19"/>
  <c r="F4" i="19"/>
  <c r="F41" i="19"/>
  <c r="F40" i="19"/>
  <c r="F39" i="19"/>
  <c r="F38" i="19"/>
  <c r="F37" i="19"/>
  <c r="F36" i="19"/>
  <c r="F35" i="19"/>
  <c r="F34" i="19"/>
  <c r="F33" i="19"/>
  <c r="F32" i="19"/>
  <c r="F31" i="19"/>
  <c r="F30" i="19"/>
  <c r="F29" i="19"/>
  <c r="F28" i="19"/>
  <c r="F27" i="19"/>
  <c r="F26" i="19"/>
  <c r="F25" i="19"/>
  <c r="F62" i="19"/>
  <c r="F61" i="19"/>
  <c r="F60" i="19"/>
  <c r="F59" i="19"/>
  <c r="F58" i="19"/>
  <c r="F57" i="19"/>
  <c r="F56" i="19"/>
  <c r="F55" i="19"/>
  <c r="F54" i="19"/>
  <c r="F53" i="19"/>
  <c r="F52" i="19"/>
  <c r="F51" i="19"/>
  <c r="F50" i="19"/>
  <c r="F49" i="19"/>
  <c r="F48" i="19"/>
  <c r="F47" i="19"/>
  <c r="F46" i="19"/>
  <c r="F83" i="19"/>
  <c r="F82" i="19"/>
  <c r="F81" i="19"/>
  <c r="F80" i="19"/>
  <c r="F79" i="19"/>
  <c r="F78" i="19"/>
  <c r="F77" i="19"/>
  <c r="F76" i="19"/>
  <c r="F75" i="19"/>
  <c r="F74" i="19"/>
  <c r="F73" i="19"/>
  <c r="F72" i="19"/>
  <c r="F71" i="19"/>
  <c r="F70" i="19"/>
  <c r="F69" i="19"/>
  <c r="F68" i="19"/>
  <c r="F67" i="19"/>
  <c r="F104" i="19"/>
  <c r="F103" i="19"/>
  <c r="F102" i="19"/>
  <c r="F101" i="19"/>
  <c r="F100" i="19"/>
  <c r="F99" i="19"/>
  <c r="F98" i="19"/>
  <c r="F97" i="19"/>
  <c r="F96" i="19"/>
  <c r="F95" i="19"/>
  <c r="F94" i="19"/>
  <c r="F93" i="19"/>
  <c r="F92" i="19"/>
  <c r="F91" i="19"/>
  <c r="F90" i="19"/>
  <c r="F89" i="19"/>
  <c r="F88" i="19"/>
  <c r="B6" i="17"/>
  <c r="B15" i="17"/>
  <c r="B12" i="17"/>
  <c r="B2" i="17"/>
  <c r="C5" i="14"/>
  <c r="C8" i="14"/>
  <c r="C7" i="14"/>
  <c r="C4" i="14"/>
  <c r="I74" i="2"/>
  <c r="H74" i="2" s="1"/>
  <c r="F110" i="19"/>
  <c r="F111" i="19"/>
  <c r="F112" i="19"/>
  <c r="F113" i="19"/>
  <c r="F114" i="19"/>
  <c r="F115" i="19"/>
  <c r="F116" i="19"/>
  <c r="F117" i="19"/>
  <c r="F118" i="19"/>
  <c r="F119" i="19"/>
  <c r="F120" i="19"/>
  <c r="F121" i="19"/>
  <c r="F122" i="19"/>
  <c r="F123" i="19"/>
  <c r="F124" i="19"/>
  <c r="F125" i="19"/>
  <c r="F109" i="19"/>
  <c r="I53" i="1"/>
  <c r="I39" i="1"/>
  <c r="I40" i="1"/>
  <c r="B54" i="2"/>
  <c r="I54" i="1"/>
  <c r="E34" i="11"/>
  <c r="F25" i="9"/>
  <c r="F26" i="9"/>
  <c r="F27" i="9"/>
  <c r="F28" i="9"/>
  <c r="F29" i="9"/>
  <c r="F30" i="9"/>
  <c r="F31" i="9"/>
  <c r="F32" i="9"/>
  <c r="F33" i="9"/>
  <c r="F34" i="9"/>
  <c r="F38" i="9"/>
  <c r="F39" i="9"/>
  <c r="F40" i="9"/>
  <c r="F41" i="9"/>
  <c r="F42" i="9"/>
  <c r="F43" i="9"/>
  <c r="F44" i="9"/>
  <c r="F45" i="9"/>
  <c r="F46" i="9"/>
  <c r="F47" i="9"/>
  <c r="F48" i="9"/>
  <c r="F49" i="9"/>
  <c r="F53" i="9"/>
  <c r="F54" i="9"/>
  <c r="F55" i="9"/>
  <c r="F56" i="9"/>
  <c r="F57" i="9"/>
  <c r="F58" i="9"/>
  <c r="F59" i="9"/>
  <c r="F60" i="9"/>
  <c r="F61" i="9"/>
  <c r="F62" i="9"/>
  <c r="F63" i="9"/>
  <c r="F64" i="9"/>
  <c r="F68" i="9"/>
  <c r="F69" i="9"/>
  <c r="F70" i="9"/>
  <c r="F71" i="9"/>
  <c r="F72" i="9"/>
  <c r="F73" i="9"/>
  <c r="F74" i="9"/>
  <c r="F75" i="9"/>
  <c r="F76" i="9"/>
  <c r="F77" i="9"/>
  <c r="F78" i="9"/>
  <c r="F79" i="9"/>
  <c r="F83" i="9"/>
  <c r="F84" i="9"/>
  <c r="F85" i="9"/>
  <c r="F86" i="9"/>
  <c r="F87" i="9"/>
  <c r="F88" i="9"/>
  <c r="F89" i="9"/>
  <c r="F90" i="9"/>
  <c r="F91" i="9"/>
  <c r="F92" i="9"/>
  <c r="F93" i="9"/>
  <c r="F94" i="9"/>
  <c r="F98" i="9"/>
  <c r="E89" i="11"/>
  <c r="E88" i="11"/>
  <c r="M89" i="2"/>
  <c r="M90" i="2"/>
  <c r="M91" i="2"/>
  <c r="M92" i="2"/>
  <c r="M94" i="2"/>
  <c r="M95" i="2"/>
  <c r="M96" i="2"/>
  <c r="M97" i="2"/>
  <c r="M98" i="2"/>
  <c r="M99" i="2"/>
  <c r="M100" i="2"/>
  <c r="B13" i="17" l="1"/>
  <c r="B14" i="17" s="1"/>
  <c r="P91" i="1"/>
  <c r="P98" i="1" s="1"/>
  <c r="O98" i="1"/>
  <c r="O82" i="1"/>
  <c r="P75" i="1"/>
  <c r="P82" i="1" s="1"/>
  <c r="O67" i="1"/>
  <c r="P60" i="1"/>
  <c r="P67" i="1" s="1"/>
  <c r="P44" i="1"/>
  <c r="P51" i="1" s="1"/>
  <c r="O51" i="1"/>
  <c r="O37" i="1"/>
  <c r="P30" i="1"/>
  <c r="P37" i="1" s="1"/>
  <c r="P5" i="1"/>
  <c r="P10" i="1" s="1"/>
  <c r="C16" i="2"/>
  <c r="E16" i="2" s="1"/>
  <c r="E18" i="2"/>
  <c r="E19" i="2"/>
  <c r="E20" i="2"/>
  <c r="E21" i="2"/>
  <c r="E22" i="2"/>
  <c r="E23" i="2"/>
  <c r="E24" i="2"/>
  <c r="E25" i="2"/>
  <c r="I90" i="1"/>
  <c r="I91" i="1"/>
  <c r="I92" i="1"/>
  <c r="I93" i="1"/>
  <c r="I94" i="1"/>
  <c r="I95" i="1"/>
  <c r="I96" i="1"/>
  <c r="K97" i="1"/>
  <c r="N96" i="2" s="1"/>
  <c r="K98" i="1"/>
  <c r="N97" i="2" s="1"/>
  <c r="K100" i="1"/>
  <c r="N99" i="2" s="1"/>
  <c r="K101" i="1"/>
  <c r="N100" i="2" s="1"/>
  <c r="I38" i="1"/>
  <c r="B101" i="3"/>
  <c r="B100" i="3"/>
  <c r="B99" i="3"/>
  <c r="B98" i="3"/>
  <c r="B97" i="3"/>
  <c r="B96" i="3"/>
  <c r="B95" i="3"/>
  <c r="B94" i="3"/>
  <c r="B93" i="3"/>
  <c r="B92" i="3"/>
  <c r="B91" i="3"/>
  <c r="B90" i="3"/>
  <c r="C100" i="2"/>
  <c r="E100" i="2" s="1"/>
  <c r="B100" i="2"/>
  <c r="C99" i="2"/>
  <c r="E99" i="2" s="1"/>
  <c r="B99" i="2"/>
  <c r="C98" i="2"/>
  <c r="E98" i="2" s="1"/>
  <c r="B98" i="2"/>
  <c r="C97" i="2"/>
  <c r="E97" i="2" s="1"/>
  <c r="B97" i="2"/>
  <c r="C96" i="2"/>
  <c r="E96" i="2" s="1"/>
  <c r="B96" i="2"/>
  <c r="C95" i="2"/>
  <c r="E95" i="2" s="1"/>
  <c r="B95" i="2"/>
  <c r="C94" i="2"/>
  <c r="E94" i="2" s="1"/>
  <c r="B94" i="2"/>
  <c r="C93" i="2"/>
  <c r="E93" i="2" s="1"/>
  <c r="B93" i="2"/>
  <c r="C92" i="2"/>
  <c r="E92" i="2" s="1"/>
  <c r="B92" i="2"/>
  <c r="C91" i="2"/>
  <c r="E91" i="2" s="1"/>
  <c r="B91" i="2"/>
  <c r="C90" i="2"/>
  <c r="E90" i="2" s="1"/>
  <c r="B90" i="2"/>
  <c r="C89" i="2"/>
  <c r="E89" i="2" s="1"/>
  <c r="B89" i="2"/>
  <c r="K99" i="1"/>
  <c r="N98" i="2" s="1"/>
  <c r="M44" i="2"/>
  <c r="C40" i="2"/>
  <c r="E40" i="2" s="1"/>
  <c r="M29" i="2"/>
  <c r="D18" i="20"/>
  <c r="D19" i="20" l="1"/>
  <c r="D20" i="20" s="1"/>
  <c r="D21" i="20" s="1"/>
  <c r="E22" i="20" s="1"/>
  <c r="D28" i="20"/>
  <c r="C28" i="20" s="1"/>
  <c r="J5" i="20"/>
  <c r="I5" i="20"/>
  <c r="I4" i="20"/>
  <c r="B85" i="3"/>
  <c r="G22" i="20" l="1"/>
  <c r="H22" i="20" s="1"/>
  <c r="F22" i="20"/>
  <c r="E28" i="20"/>
  <c r="C30" i="20" s="1"/>
  <c r="C62" i="2"/>
  <c r="E62" i="2" s="1"/>
  <c r="C32" i="2"/>
  <c r="C35" i="2"/>
  <c r="E35" i="2" s="1"/>
  <c r="B35" i="2"/>
  <c r="C81" i="2"/>
  <c r="E81" i="2" s="1"/>
  <c r="K90" i="1" l="1"/>
  <c r="N89" i="2" s="1"/>
  <c r="K91" i="1"/>
  <c r="N90" i="2" s="1"/>
  <c r="K92" i="1"/>
  <c r="N91" i="2" s="1"/>
  <c r="M80" i="2" l="1"/>
  <c r="M81" i="2"/>
  <c r="M82" i="2"/>
  <c r="M83" i="2"/>
  <c r="M84" i="2"/>
  <c r="M85" i="2"/>
  <c r="B80" i="2"/>
  <c r="C80" i="2"/>
  <c r="E80" i="2" s="1"/>
  <c r="B81" i="2"/>
  <c r="B82" i="2"/>
  <c r="C82" i="2"/>
  <c r="E82" i="2" s="1"/>
  <c r="B83" i="2"/>
  <c r="C83" i="2"/>
  <c r="E83" i="2" s="1"/>
  <c r="B84" i="2"/>
  <c r="C84" i="2"/>
  <c r="E84" i="2" s="1"/>
  <c r="B85" i="2"/>
  <c r="C85" i="2"/>
  <c r="E85" i="2" s="1"/>
  <c r="K47" i="15"/>
  <c r="K37" i="15"/>
  <c r="E39" i="11"/>
  <c r="U14" i="2" l="1"/>
  <c r="Q14" i="2"/>
  <c r="E4" i="11"/>
  <c r="E5" i="11"/>
  <c r="E6" i="11"/>
  <c r="E7" i="11"/>
  <c r="E8" i="11"/>
  <c r="E9" i="11"/>
  <c r="B86" i="3"/>
  <c r="B84" i="3"/>
  <c r="B83" i="3"/>
  <c r="B82" i="3"/>
  <c r="B81" i="3"/>
  <c r="B80" i="3"/>
  <c r="B79" i="3"/>
  <c r="B78" i="3"/>
  <c r="B77" i="3"/>
  <c r="B76" i="3"/>
  <c r="B75" i="3"/>
  <c r="B71" i="3"/>
  <c r="B70" i="3"/>
  <c r="B69" i="3"/>
  <c r="B68" i="3"/>
  <c r="B67" i="3"/>
  <c r="B66" i="3"/>
  <c r="B65" i="3"/>
  <c r="B64" i="3"/>
  <c r="B63" i="3"/>
  <c r="B62" i="3"/>
  <c r="B61" i="3"/>
  <c r="B60" i="3"/>
  <c r="B56" i="3"/>
  <c r="B55" i="3"/>
  <c r="B54" i="3"/>
  <c r="B53" i="3"/>
  <c r="B52" i="3"/>
  <c r="B51" i="3"/>
  <c r="B50" i="3"/>
  <c r="B49" i="3"/>
  <c r="B48" i="3"/>
  <c r="B47" i="3"/>
  <c r="B46" i="3"/>
  <c r="B45" i="3"/>
  <c r="B41" i="3"/>
  <c r="B40" i="3"/>
  <c r="B39" i="3"/>
  <c r="B38" i="3"/>
  <c r="B37" i="3"/>
  <c r="B36" i="3"/>
  <c r="B35" i="3"/>
  <c r="B34" i="3"/>
  <c r="B33" i="3"/>
  <c r="B32" i="3"/>
  <c r="B31" i="3"/>
  <c r="B30" i="3"/>
  <c r="B26" i="3"/>
  <c r="B25" i="3"/>
  <c r="B24" i="3"/>
  <c r="B23" i="3"/>
  <c r="B22" i="3"/>
  <c r="B21" i="3"/>
  <c r="B20" i="3"/>
  <c r="B19" i="3"/>
  <c r="B18" i="3"/>
  <c r="B17" i="3"/>
  <c r="B16" i="3"/>
  <c r="B15" i="3"/>
  <c r="B7" i="3"/>
  <c r="B8" i="3"/>
  <c r="B9" i="3"/>
  <c r="B10" i="3"/>
  <c r="B11" i="3"/>
  <c r="B6" i="3"/>
  <c r="I46" i="1" l="1"/>
  <c r="K46" i="1" s="1"/>
  <c r="I47" i="1"/>
  <c r="I48" i="1"/>
  <c r="I49" i="1"/>
  <c r="I50" i="1"/>
  <c r="I51" i="1"/>
  <c r="I52" i="1"/>
  <c r="I55" i="1"/>
  <c r="K55" i="1" s="1"/>
  <c r="I56" i="1"/>
  <c r="I16" i="1"/>
  <c r="I17" i="1"/>
  <c r="I18" i="1"/>
  <c r="I19" i="1"/>
  <c r="I20" i="1"/>
  <c r="I21" i="1"/>
  <c r="I22" i="1"/>
  <c r="I23" i="1"/>
  <c r="I24" i="1"/>
  <c r="I25" i="1"/>
  <c r="I63" i="1"/>
  <c r="K15" i="15"/>
  <c r="M79" i="2" l="1"/>
  <c r="B79" i="2"/>
  <c r="C79" i="2"/>
  <c r="E79" i="2" s="1"/>
  <c r="M55" i="2"/>
  <c r="M33" i="2"/>
  <c r="N33" i="2" s="1"/>
  <c r="E78" i="11"/>
  <c r="E79" i="11"/>
  <c r="E80" i="11"/>
  <c r="E81" i="11"/>
  <c r="E82" i="11"/>
  <c r="I5" i="1"/>
  <c r="K4" i="1"/>
  <c r="N3" i="2" s="1"/>
  <c r="I76" i="1"/>
  <c r="I77" i="1"/>
  <c r="I78" i="1"/>
  <c r="I79" i="1"/>
  <c r="I80" i="1"/>
  <c r="E74" i="11"/>
  <c r="E75" i="11"/>
  <c r="E76" i="11"/>
  <c r="E77" i="11"/>
  <c r="E73" i="11"/>
  <c r="E59" i="11"/>
  <c r="E60" i="11"/>
  <c r="E61" i="11"/>
  <c r="E62" i="11"/>
  <c r="E63" i="11"/>
  <c r="E64" i="11"/>
  <c r="E65" i="11"/>
  <c r="E66" i="11"/>
  <c r="E67" i="11"/>
  <c r="E68" i="11"/>
  <c r="E69" i="11"/>
  <c r="E58" i="11"/>
  <c r="E44" i="11"/>
  <c r="E45" i="11"/>
  <c r="E46" i="11"/>
  <c r="E48" i="11"/>
  <c r="E49" i="11"/>
  <c r="E50" i="11"/>
  <c r="E51" i="11"/>
  <c r="E52" i="11"/>
  <c r="E53" i="11"/>
  <c r="E43" i="11"/>
  <c r="E29" i="11"/>
  <c r="E30" i="11"/>
  <c r="E31" i="11"/>
  <c r="E32" i="11"/>
  <c r="E33" i="11"/>
  <c r="E35" i="11"/>
  <c r="E36" i="11"/>
  <c r="E37" i="11"/>
  <c r="E38" i="11"/>
  <c r="E28" i="11"/>
  <c r="E14" i="11"/>
  <c r="E15" i="11"/>
  <c r="E16" i="11"/>
  <c r="E17" i="11"/>
  <c r="E18" i="11"/>
  <c r="E19" i="11"/>
  <c r="E20" i="11"/>
  <c r="E21" i="11"/>
  <c r="E22" i="11"/>
  <c r="E23" i="11"/>
  <c r="E24" i="11"/>
  <c r="E13" i="11"/>
  <c r="K10" i="1"/>
  <c r="G15" i="1" s="1"/>
  <c r="G14" i="1" s="1"/>
  <c r="F13" i="1" s="1"/>
  <c r="K11" i="1"/>
  <c r="K12" i="1"/>
  <c r="K13" i="1"/>
  <c r="K14" i="1"/>
  <c r="N13" i="2" s="1"/>
  <c r="K29" i="1"/>
  <c r="K30" i="1"/>
  <c r="N29" i="2" s="1"/>
  <c r="K42" i="1"/>
  <c r="K43" i="1"/>
  <c r="K44" i="1"/>
  <c r="K45" i="1"/>
  <c r="N44" i="2" s="1"/>
  <c r="K60" i="1"/>
  <c r="K75" i="1"/>
  <c r="K93" i="1"/>
  <c r="N92" i="2" s="1"/>
  <c r="K94" i="1"/>
  <c r="N93" i="2" s="1"/>
  <c r="K95" i="1"/>
  <c r="N94" i="2" s="1"/>
  <c r="K96" i="1"/>
  <c r="N95" i="2" s="1"/>
  <c r="G13" i="1" l="1"/>
  <c r="I13" i="2" s="1"/>
  <c r="H13" i="2" s="1"/>
  <c r="K3" i="15"/>
  <c r="K80" i="1"/>
  <c r="N79" i="2" s="1"/>
  <c r="I81" i="1"/>
  <c r="K81" i="1" s="1"/>
  <c r="N80" i="2" s="1"/>
  <c r="I82" i="1"/>
  <c r="I83" i="1"/>
  <c r="K83" i="1" s="1"/>
  <c r="N82" i="2" s="1"/>
  <c r="I84" i="1"/>
  <c r="K84" i="1" s="1"/>
  <c r="N83" i="2" s="1"/>
  <c r="I85" i="1"/>
  <c r="K85" i="1" s="1"/>
  <c r="N84" i="2" s="1"/>
  <c r="I86" i="1"/>
  <c r="K86" i="1" s="1"/>
  <c r="N85" i="2" s="1"/>
  <c r="K77" i="1"/>
  <c r="K78" i="1"/>
  <c r="K79" i="1"/>
  <c r="K76" i="1"/>
  <c r="I62" i="1"/>
  <c r="K62" i="1" s="1"/>
  <c r="K63" i="1"/>
  <c r="I64" i="1"/>
  <c r="K64" i="1" s="1"/>
  <c r="I65" i="1"/>
  <c r="K65" i="1" s="1"/>
  <c r="I66" i="1"/>
  <c r="K66" i="1" s="1"/>
  <c r="I67" i="1"/>
  <c r="K67" i="1" s="1"/>
  <c r="I68" i="1"/>
  <c r="K68" i="1" s="1"/>
  <c r="I69" i="1"/>
  <c r="K69" i="1" s="1"/>
  <c r="I70" i="1"/>
  <c r="K70" i="1" s="1"/>
  <c r="I71" i="1"/>
  <c r="K71" i="1" s="1"/>
  <c r="G75" i="1" s="1"/>
  <c r="F74" i="1" s="1"/>
  <c r="G74" i="1" s="1"/>
  <c r="I61" i="1"/>
  <c r="K61" i="1" s="1"/>
  <c r="K47" i="1"/>
  <c r="K48" i="1"/>
  <c r="K49" i="1"/>
  <c r="K50" i="1"/>
  <c r="K51" i="1"/>
  <c r="K52" i="1"/>
  <c r="K53" i="1"/>
  <c r="K54" i="1"/>
  <c r="K56" i="1"/>
  <c r="I32" i="1"/>
  <c r="K32" i="1" s="1"/>
  <c r="I33" i="1"/>
  <c r="K33" i="1" s="1"/>
  <c r="K34" i="1"/>
  <c r="I35" i="1"/>
  <c r="K35" i="1" s="1"/>
  <c r="I36" i="1"/>
  <c r="K36" i="1" s="1"/>
  <c r="I37" i="1"/>
  <c r="K37" i="1" s="1"/>
  <c r="K38" i="1"/>
  <c r="K39" i="1"/>
  <c r="K40" i="1"/>
  <c r="I41" i="1"/>
  <c r="I31" i="1"/>
  <c r="K31" i="1" s="1"/>
  <c r="K17" i="1"/>
  <c r="K18" i="1"/>
  <c r="K19" i="1"/>
  <c r="K20" i="1"/>
  <c r="K21" i="1"/>
  <c r="K22" i="1"/>
  <c r="K23" i="1"/>
  <c r="K24" i="1"/>
  <c r="K25" i="1"/>
  <c r="I26" i="1"/>
  <c r="K26" i="1" s="1"/>
  <c r="G31" i="1" s="1"/>
  <c r="F29" i="1" s="1"/>
  <c r="K16" i="1"/>
  <c r="K5" i="1"/>
  <c r="N4" i="2" s="1"/>
  <c r="I6" i="1"/>
  <c r="K6" i="1" s="1"/>
  <c r="N5" i="2" s="1"/>
  <c r="I7" i="1"/>
  <c r="K7" i="1" s="1"/>
  <c r="N6" i="2" s="1"/>
  <c r="K8" i="1"/>
  <c r="N7" i="2" s="1"/>
  <c r="I9" i="1"/>
  <c r="K9" i="1" s="1"/>
  <c r="I25" i="2" l="1"/>
  <c r="H25" i="2" s="1"/>
  <c r="N55" i="2"/>
  <c r="G60" i="1"/>
  <c r="F59" i="1" s="1"/>
  <c r="I77" i="2"/>
  <c r="H77" i="2" s="1"/>
  <c r="I75" i="2"/>
  <c r="H75" i="2" s="1"/>
  <c r="I83" i="2"/>
  <c r="H83" i="2" s="1"/>
  <c r="I85" i="2"/>
  <c r="H85" i="2" s="1"/>
  <c r="I78" i="2"/>
  <c r="H78" i="2" s="1"/>
  <c r="I79" i="2"/>
  <c r="H79" i="2" s="1"/>
  <c r="I76" i="2"/>
  <c r="H76" i="2" s="1"/>
  <c r="I80" i="2"/>
  <c r="H80" i="2" s="1"/>
  <c r="I81" i="2"/>
  <c r="H81" i="2" s="1"/>
  <c r="I82" i="2"/>
  <c r="H82" i="2" s="1"/>
  <c r="I84" i="2"/>
  <c r="H84" i="2" s="1"/>
  <c r="G29" i="1"/>
  <c r="I33" i="2" s="1"/>
  <c r="H33" i="2" s="1"/>
  <c r="I32" i="2"/>
  <c r="H32" i="2" s="1"/>
  <c r="I37" i="2"/>
  <c r="H37" i="2" s="1"/>
  <c r="I38" i="2"/>
  <c r="H38" i="2" s="1"/>
  <c r="I35" i="2"/>
  <c r="H35" i="2" s="1"/>
  <c r="I39" i="2"/>
  <c r="H39" i="2" s="1"/>
  <c r="I36" i="2"/>
  <c r="H36" i="2" s="1"/>
  <c r="G90" i="1"/>
  <c r="F89" i="1" s="1"/>
  <c r="K41" i="1"/>
  <c r="K82" i="1"/>
  <c r="N81" i="2" s="1"/>
  <c r="B40" i="2"/>
  <c r="B30" i="2"/>
  <c r="B31" i="2"/>
  <c r="B32" i="2"/>
  <c r="B33" i="2"/>
  <c r="B34" i="2"/>
  <c r="B36" i="2"/>
  <c r="B37" i="2"/>
  <c r="B38" i="2"/>
  <c r="B39" i="2"/>
  <c r="B29" i="2"/>
  <c r="N22" i="1"/>
  <c r="I44" i="2" l="1"/>
  <c r="H44" i="2" s="1"/>
  <c r="I40" i="2"/>
  <c r="H40" i="2" s="1"/>
  <c r="I31" i="2"/>
  <c r="H31" i="2" s="1"/>
  <c r="I30" i="2"/>
  <c r="H30" i="2" s="1"/>
  <c r="I29" i="2"/>
  <c r="H29" i="2" s="1"/>
  <c r="I34" i="2"/>
  <c r="H34" i="2" s="1"/>
  <c r="G89" i="1"/>
  <c r="I93" i="2" s="1"/>
  <c r="G45" i="1"/>
  <c r="F44" i="1" s="1"/>
  <c r="G59" i="1"/>
  <c r="I63" i="2" s="1"/>
  <c r="H63" i="2" s="1"/>
  <c r="I61" i="2"/>
  <c r="H61" i="2" s="1"/>
  <c r="I70" i="2" l="1"/>
  <c r="H70" i="2" s="1"/>
  <c r="I67" i="2"/>
  <c r="H67" i="2" s="1"/>
  <c r="I95" i="2"/>
  <c r="I100" i="2"/>
  <c r="I98" i="2"/>
  <c r="I96" i="2"/>
  <c r="I92" i="2"/>
  <c r="I90" i="2"/>
  <c r="H90" i="2" s="1"/>
  <c r="I99" i="2"/>
  <c r="I97" i="2"/>
  <c r="I94" i="2"/>
  <c r="I91" i="2"/>
  <c r="I62" i="2"/>
  <c r="H62" i="2" s="1"/>
  <c r="I64" i="2"/>
  <c r="H64" i="2" s="1"/>
  <c r="I69" i="2"/>
  <c r="H69" i="2" s="1"/>
  <c r="I68" i="2"/>
  <c r="H68" i="2" s="1"/>
  <c r="G44" i="1"/>
  <c r="I46" i="2" s="1"/>
  <c r="I66" i="2"/>
  <c r="H66" i="2" s="1"/>
  <c r="I60" i="2"/>
  <c r="H60" i="2" s="1"/>
  <c r="I65" i="2"/>
  <c r="H65" i="2" s="1"/>
  <c r="P21" i="1"/>
  <c r="O20" i="1"/>
  <c r="P20" i="1" s="1"/>
  <c r="O19" i="1"/>
  <c r="P19" i="1" s="1"/>
  <c r="O18" i="1"/>
  <c r="P18" i="1" s="1"/>
  <c r="O17" i="1"/>
  <c r="P17" i="1" s="1"/>
  <c r="O16" i="1"/>
  <c r="P16" i="1" s="1"/>
  <c r="O15" i="1"/>
  <c r="E83" i="11"/>
  <c r="E84" i="11"/>
  <c r="I45" i="2" l="1"/>
  <c r="H45" i="2" s="1"/>
  <c r="H98" i="2"/>
  <c r="I49" i="2"/>
  <c r="H49" i="2" s="1"/>
  <c r="I55" i="2"/>
  <c r="H55" i="2" s="1"/>
  <c r="I54" i="2"/>
  <c r="H54" i="2" s="1"/>
  <c r="I53" i="2"/>
  <c r="H53" i="2" s="1"/>
  <c r="I48" i="2"/>
  <c r="H48" i="2" s="1"/>
  <c r="I52" i="2"/>
  <c r="H52" i="2" s="1"/>
  <c r="H46" i="2"/>
  <c r="I51" i="2"/>
  <c r="H51" i="2" s="1"/>
  <c r="I50" i="2"/>
  <c r="H50" i="2" s="1"/>
  <c r="I47" i="2"/>
  <c r="H47" i="2" s="1"/>
  <c r="H97" i="2"/>
  <c r="H100" i="2"/>
  <c r="I59" i="2"/>
  <c r="H59" i="2" s="1"/>
  <c r="H95" i="2"/>
  <c r="H99" i="2"/>
  <c r="H94" i="2"/>
  <c r="H91" i="2"/>
  <c r="H96" i="2"/>
  <c r="H93" i="2"/>
  <c r="H92" i="2"/>
  <c r="O22" i="1"/>
  <c r="P15" i="1"/>
  <c r="P22" i="1" s="1"/>
  <c r="M77" i="2"/>
  <c r="N77" i="2" s="1"/>
  <c r="M78" i="2"/>
  <c r="N78" i="2" s="1"/>
  <c r="B77" i="2"/>
  <c r="C77" i="2"/>
  <c r="E77" i="2" s="1"/>
  <c r="B78" i="2"/>
  <c r="C78" i="2"/>
  <c r="E78" i="2" s="1"/>
  <c r="J4" i="20"/>
  <c r="J3" i="20"/>
  <c r="I3" i="20"/>
  <c r="M23" i="2"/>
  <c r="N23" i="2" s="1"/>
  <c r="B63" i="2" l="1"/>
  <c r="B64" i="2"/>
  <c r="B65" i="2"/>
  <c r="B66" i="2"/>
  <c r="B67" i="2"/>
  <c r="B68" i="2"/>
  <c r="B69" i="2"/>
  <c r="B70" i="2"/>
  <c r="B62" i="2"/>
  <c r="B61" i="2"/>
  <c r="B59" i="2"/>
  <c r="I24" i="2" l="1"/>
  <c r="H24" i="2" s="1"/>
  <c r="I23" i="2"/>
  <c r="H23" i="2" s="1"/>
  <c r="I22" i="2"/>
  <c r="H22" i="2" s="1"/>
  <c r="I21" i="2"/>
  <c r="H21" i="2" s="1"/>
  <c r="I20" i="2"/>
  <c r="H20" i="2" s="1"/>
  <c r="I19" i="2"/>
  <c r="H19" i="2" s="1"/>
  <c r="I18" i="2"/>
  <c r="H18" i="2" s="1"/>
  <c r="H17" i="2"/>
  <c r="I16" i="2"/>
  <c r="H16" i="2" s="1"/>
  <c r="I15" i="2"/>
  <c r="H15" i="2" s="1"/>
  <c r="I14" i="2"/>
  <c r="H14" i="2" s="1"/>
  <c r="N64" i="2"/>
  <c r="D122" i="18" l="1"/>
  <c r="D121" i="18"/>
  <c r="D120" i="18"/>
  <c r="D119" i="18"/>
  <c r="D118" i="18"/>
  <c r="D117" i="18"/>
  <c r="D116" i="18"/>
  <c r="D115" i="18"/>
  <c r="D114" i="18"/>
  <c r="D113" i="18"/>
  <c r="D112" i="18"/>
  <c r="D111" i="18"/>
  <c r="D110" i="18"/>
  <c r="D109" i="18"/>
  <c r="D108" i="18"/>
  <c r="D107" i="18"/>
  <c r="D106" i="18"/>
  <c r="D105" i="18"/>
  <c r="D104" i="18"/>
  <c r="D103" i="18"/>
  <c r="D102" i="18"/>
  <c r="D101" i="18"/>
  <c r="D100" i="18"/>
  <c r="D99" i="18"/>
  <c r="D98" i="18"/>
  <c r="D97" i="18"/>
  <c r="D96" i="18"/>
  <c r="D95" i="18"/>
  <c r="D94" i="18"/>
  <c r="D93" i="18"/>
  <c r="D92" i="18"/>
  <c r="D91" i="18"/>
  <c r="D90" i="18"/>
  <c r="D89" i="18"/>
  <c r="D88" i="18"/>
  <c r="D87" i="18"/>
  <c r="D86" i="18"/>
  <c r="D85" i="18"/>
  <c r="D84" i="18"/>
  <c r="D83" i="18"/>
  <c r="D82" i="18"/>
  <c r="D81" i="18"/>
  <c r="D80" i="18"/>
  <c r="D79" i="18"/>
  <c r="D78" i="18"/>
  <c r="D77" i="18"/>
  <c r="D76" i="18"/>
  <c r="D75" i="18"/>
  <c r="D74" i="18"/>
  <c r="D73" i="18"/>
  <c r="D72" i="18"/>
  <c r="D71" i="18"/>
  <c r="D70" i="18"/>
  <c r="D69" i="18"/>
  <c r="D68" i="18"/>
  <c r="D67" i="18"/>
  <c r="D66" i="18"/>
  <c r="D65" i="18"/>
  <c r="D64" i="18"/>
  <c r="D63" i="18"/>
  <c r="D62" i="18"/>
  <c r="D61" i="18"/>
  <c r="D60" i="18"/>
  <c r="D59" i="18"/>
  <c r="D58" i="18"/>
  <c r="D57" i="18"/>
  <c r="D56" i="18"/>
  <c r="D55" i="18"/>
  <c r="D54" i="18"/>
  <c r="D53" i="18"/>
  <c r="D52" i="18"/>
  <c r="D51" i="18"/>
  <c r="D50" i="18"/>
  <c r="D49" i="18"/>
  <c r="D48" i="18"/>
  <c r="D47" i="18"/>
  <c r="D46" i="18"/>
  <c r="D45" i="18"/>
  <c r="D44" i="18"/>
  <c r="D43" i="18"/>
  <c r="D42" i="18"/>
  <c r="D41" i="18"/>
  <c r="D40" i="18"/>
  <c r="D39" i="18"/>
  <c r="D38" i="18"/>
  <c r="D37" i="18"/>
  <c r="D36" i="18"/>
  <c r="D35" i="18"/>
  <c r="D34" i="18"/>
  <c r="D33" i="18"/>
  <c r="D32" i="18"/>
  <c r="D31" i="18"/>
  <c r="D30" i="18"/>
  <c r="D29" i="18"/>
  <c r="D28" i="18"/>
  <c r="D27" i="18"/>
  <c r="D26" i="18"/>
  <c r="D25" i="18"/>
  <c r="D24" i="18"/>
  <c r="D23" i="18"/>
  <c r="D22" i="18"/>
  <c r="D21" i="18"/>
  <c r="D20" i="18"/>
  <c r="D19" i="18"/>
  <c r="D18" i="18"/>
  <c r="D17" i="18"/>
  <c r="D16" i="18"/>
  <c r="D15" i="18"/>
  <c r="D14" i="18"/>
  <c r="D13" i="18"/>
  <c r="D12" i="18"/>
  <c r="D11" i="18"/>
  <c r="D10" i="18"/>
  <c r="D9" i="18"/>
  <c r="D8" i="18"/>
  <c r="D7" i="18"/>
  <c r="D6" i="18"/>
  <c r="D5" i="18"/>
  <c r="D4" i="18"/>
  <c r="D3" i="18"/>
  <c r="F64" i="3" l="1"/>
  <c r="G64" i="3" s="1"/>
  <c r="F94" i="3"/>
  <c r="G94" i="3" s="1"/>
  <c r="F96" i="3"/>
  <c r="G96" i="3" s="1"/>
  <c r="F90" i="3"/>
  <c r="G90" i="3" s="1"/>
  <c r="F95" i="3"/>
  <c r="F97" i="3"/>
  <c r="F91" i="3"/>
  <c r="F93" i="3"/>
  <c r="E58" i="16" s="1"/>
  <c r="F58" i="16" s="1"/>
  <c r="F98" i="3"/>
  <c r="G98" i="3" s="1"/>
  <c r="F100" i="3"/>
  <c r="G100" i="3" s="1"/>
  <c r="F101" i="3"/>
  <c r="E62" i="16" s="1"/>
  <c r="F62" i="16" s="1"/>
  <c r="F92" i="3"/>
  <c r="F99" i="3"/>
  <c r="F85" i="3"/>
  <c r="G85" i="3" s="1"/>
  <c r="F66" i="3"/>
  <c r="G66" i="3" s="1"/>
  <c r="F16" i="3"/>
  <c r="G16" i="3" s="1"/>
  <c r="F48" i="3"/>
  <c r="F80" i="3"/>
  <c r="G80" i="3" s="1"/>
  <c r="F23" i="3"/>
  <c r="G23" i="3" s="1"/>
  <c r="F25" i="3"/>
  <c r="G25" i="3" s="1"/>
  <c r="F31" i="3"/>
  <c r="G31" i="3" s="1"/>
  <c r="F6" i="3"/>
  <c r="G6" i="3" s="1"/>
  <c r="F38" i="3"/>
  <c r="G38" i="3" s="1"/>
  <c r="F40" i="3"/>
  <c r="G40" i="3" s="1"/>
  <c r="F7" i="3"/>
  <c r="G7" i="3" s="1"/>
  <c r="F46" i="3"/>
  <c r="G46" i="3" s="1"/>
  <c r="F78" i="3"/>
  <c r="G78" i="3" s="1"/>
  <c r="F21" i="3"/>
  <c r="G21" i="3" s="1"/>
  <c r="F53" i="3"/>
  <c r="G53" i="3" s="1"/>
  <c r="F55" i="3"/>
  <c r="G55" i="3" s="1"/>
  <c r="F26" i="3"/>
  <c r="G26" i="3" s="1"/>
  <c r="F19" i="3"/>
  <c r="G19" i="3" s="1"/>
  <c r="F36" i="3"/>
  <c r="G36" i="3" s="1"/>
  <c r="F70" i="3"/>
  <c r="G70" i="3" s="1"/>
  <c r="F83" i="3"/>
  <c r="G83" i="3" s="1"/>
  <c r="F56" i="3"/>
  <c r="G56" i="3" s="1"/>
  <c r="F49" i="3"/>
  <c r="G49" i="3" s="1"/>
  <c r="F71" i="3"/>
  <c r="G71" i="3" s="1"/>
  <c r="F32" i="3"/>
  <c r="G32" i="3" s="1"/>
  <c r="F24" i="3"/>
  <c r="G24" i="3" s="1"/>
  <c r="F79" i="3"/>
  <c r="G79" i="3" s="1"/>
  <c r="F37" i="3"/>
  <c r="G37" i="3" s="1"/>
  <c r="F30" i="3"/>
  <c r="G30" i="3" s="1"/>
  <c r="F52" i="3"/>
  <c r="G52" i="3" s="1"/>
  <c r="F77" i="3"/>
  <c r="G77" i="3" s="1"/>
  <c r="F67" i="3"/>
  <c r="G67" i="3" s="1"/>
  <c r="F60" i="3"/>
  <c r="G60" i="3" s="1"/>
  <c r="F82" i="3"/>
  <c r="G82" i="3" s="1"/>
  <c r="F84" i="3"/>
  <c r="F65" i="3"/>
  <c r="G65" i="3" s="1"/>
  <c r="F10" i="3"/>
  <c r="G10" i="3" s="1"/>
  <c r="F81" i="3"/>
  <c r="G81" i="3" s="1"/>
  <c r="F63" i="3"/>
  <c r="G63" i="3" s="1"/>
  <c r="F61" i="3"/>
  <c r="G61" i="3" s="1"/>
  <c r="F68" i="3"/>
  <c r="G68" i="3" s="1"/>
  <c r="F86" i="3"/>
  <c r="G86" i="3" s="1"/>
  <c r="F17" i="3"/>
  <c r="G17" i="3" s="1"/>
  <c r="F9" i="3"/>
  <c r="G9" i="3" s="1"/>
  <c r="F22" i="3"/>
  <c r="G22" i="3" s="1"/>
  <c r="F15" i="3"/>
  <c r="G15" i="3" s="1"/>
  <c r="F39" i="3"/>
  <c r="G39" i="3" s="1"/>
  <c r="F20" i="3"/>
  <c r="G20" i="3" s="1"/>
  <c r="F45" i="3"/>
  <c r="G45" i="3" s="1"/>
  <c r="F69" i="3"/>
  <c r="G69" i="3" s="1"/>
  <c r="F50" i="3"/>
  <c r="G50" i="3" s="1"/>
  <c r="F75" i="3"/>
  <c r="G75" i="3" s="1"/>
  <c r="F8" i="3"/>
  <c r="G8" i="3" s="1"/>
  <c r="F41" i="3"/>
  <c r="G41" i="3" s="1"/>
  <c r="F76" i="3"/>
  <c r="G76" i="3" s="1"/>
  <c r="F34" i="3"/>
  <c r="G34" i="3" s="1"/>
  <c r="F51" i="3"/>
  <c r="G51" i="3" s="1"/>
  <c r="F11" i="3"/>
  <c r="G11" i="3" s="1"/>
  <c r="F47" i="3"/>
  <c r="G47" i="3" s="1"/>
  <c r="F62" i="3"/>
  <c r="G62" i="3" s="1"/>
  <c r="F54" i="3"/>
  <c r="G54" i="3" s="1"/>
  <c r="F35" i="3"/>
  <c r="G35" i="3" s="1"/>
  <c r="F18" i="3"/>
  <c r="G18" i="3" s="1"/>
  <c r="F33" i="3"/>
  <c r="G33" i="3" s="1"/>
  <c r="K25" i="15"/>
  <c r="B8" i="17"/>
  <c r="C65" i="2"/>
  <c r="E65" i="2" s="1"/>
  <c r="B15" i="2"/>
  <c r="M76" i="2"/>
  <c r="N76" i="2" s="1"/>
  <c r="M75" i="2"/>
  <c r="N75" i="2" s="1"/>
  <c r="M74" i="2"/>
  <c r="N74" i="2" s="1"/>
  <c r="M70" i="2"/>
  <c r="N70" i="2" s="1"/>
  <c r="M69" i="2"/>
  <c r="N69" i="2" s="1"/>
  <c r="M68" i="2"/>
  <c r="N68" i="2" s="1"/>
  <c r="M67" i="2"/>
  <c r="N67" i="2" s="1"/>
  <c r="N66" i="2"/>
  <c r="M65" i="2"/>
  <c r="N65" i="2" s="1"/>
  <c r="M63" i="2"/>
  <c r="N63" i="2" s="1"/>
  <c r="M62" i="2"/>
  <c r="N62" i="2" s="1"/>
  <c r="M61" i="2"/>
  <c r="N61" i="2" s="1"/>
  <c r="M60" i="2"/>
  <c r="N60" i="2" s="1"/>
  <c r="M59" i="2"/>
  <c r="N59" i="2" s="1"/>
  <c r="M54" i="2"/>
  <c r="N54" i="2" s="1"/>
  <c r="M53" i="2"/>
  <c r="N53" i="2" s="1"/>
  <c r="M52" i="2"/>
  <c r="N52" i="2" s="1"/>
  <c r="M51" i="2"/>
  <c r="N51" i="2" s="1"/>
  <c r="M50" i="2"/>
  <c r="N50" i="2" s="1"/>
  <c r="M49" i="2"/>
  <c r="N49" i="2" s="1"/>
  <c r="M48" i="2"/>
  <c r="N48" i="2" s="1"/>
  <c r="M47" i="2"/>
  <c r="N47" i="2" s="1"/>
  <c r="M46" i="2"/>
  <c r="N46" i="2" s="1"/>
  <c r="M45" i="2"/>
  <c r="N45" i="2" s="1"/>
  <c r="N40" i="2"/>
  <c r="M39" i="2"/>
  <c r="N39" i="2" s="1"/>
  <c r="M38" i="2"/>
  <c r="N38" i="2" s="1"/>
  <c r="M37" i="2"/>
  <c r="N37" i="2" s="1"/>
  <c r="M36" i="2"/>
  <c r="N36" i="2" s="1"/>
  <c r="M35" i="2"/>
  <c r="N35" i="2" s="1"/>
  <c r="M34" i="2"/>
  <c r="N34" i="2" s="1"/>
  <c r="M32" i="2"/>
  <c r="N32" i="2" s="1"/>
  <c r="M31" i="2"/>
  <c r="N31" i="2" s="1"/>
  <c r="M30" i="2"/>
  <c r="N30" i="2" s="1"/>
  <c r="M25" i="2"/>
  <c r="N25" i="2" s="1"/>
  <c r="M24" i="2"/>
  <c r="N24" i="2" s="1"/>
  <c r="M22" i="2"/>
  <c r="N22" i="2" s="1"/>
  <c r="M21" i="2"/>
  <c r="N21" i="2" s="1"/>
  <c r="M20" i="2"/>
  <c r="N20" i="2" s="1"/>
  <c r="M19" i="2"/>
  <c r="N19" i="2" s="1"/>
  <c r="M18" i="2"/>
  <c r="N18" i="2" s="1"/>
  <c r="N17" i="2"/>
  <c r="M16" i="2"/>
  <c r="N16" i="2" s="1"/>
  <c r="M15" i="2"/>
  <c r="N15" i="2" s="1"/>
  <c r="M14" i="2"/>
  <c r="N14" i="2" s="1"/>
  <c r="E60" i="16" l="1"/>
  <c r="F60" i="16" s="1"/>
  <c r="E42" i="4"/>
  <c r="F42" i="4" s="1"/>
  <c r="G48" i="3"/>
  <c r="E31" i="16"/>
  <c r="G99" i="3"/>
  <c r="E61" i="16"/>
  <c r="F61" i="16" s="1"/>
  <c r="G91" i="3"/>
  <c r="E57" i="16"/>
  <c r="F57" i="16" s="1"/>
  <c r="G95" i="3"/>
  <c r="E59" i="16"/>
  <c r="F59" i="16" s="1"/>
  <c r="G101" i="3"/>
  <c r="E43" i="4"/>
  <c r="F43" i="4" s="1"/>
  <c r="G93" i="3"/>
  <c r="E41" i="4"/>
  <c r="F41" i="4" s="1"/>
  <c r="G97" i="3"/>
  <c r="G92" i="3"/>
  <c r="G84" i="3"/>
  <c r="E51" i="16"/>
  <c r="F51" i="16" s="1"/>
  <c r="E36" i="4"/>
  <c r="F36" i="4" s="1"/>
  <c r="E13" i="16"/>
  <c r="F13" i="16" s="1"/>
  <c r="E10" i="4"/>
  <c r="F10" i="4" s="1"/>
  <c r="E24" i="16"/>
  <c r="F24" i="16" s="1"/>
  <c r="E18" i="4"/>
  <c r="F18" i="4" s="1"/>
  <c r="E23" i="16"/>
  <c r="F23" i="16" s="1"/>
  <c r="E43" i="16"/>
  <c r="F43" i="16" s="1"/>
  <c r="E16" i="16"/>
  <c r="F16" i="16" s="1"/>
  <c r="E25" i="16"/>
  <c r="F25" i="16" s="1"/>
  <c r="E52" i="16"/>
  <c r="F52" i="16" s="1"/>
  <c r="E6" i="16"/>
  <c r="F6" i="16" s="1"/>
  <c r="E5" i="4"/>
  <c r="F5" i="4" s="1"/>
  <c r="E21" i="16"/>
  <c r="F21" i="16" s="1"/>
  <c r="E7" i="16"/>
  <c r="F7" i="16" s="1"/>
  <c r="E42" i="16"/>
  <c r="F42" i="16" s="1"/>
  <c r="E30" i="4"/>
  <c r="F30" i="4" s="1"/>
  <c r="E48" i="16"/>
  <c r="F48" i="16" s="1"/>
  <c r="E26" i="16"/>
  <c r="F26" i="16" s="1"/>
  <c r="E19" i="4"/>
  <c r="F19" i="4" s="1"/>
  <c r="E53" i="16"/>
  <c r="F53" i="16" s="1"/>
  <c r="E37" i="4"/>
  <c r="F37" i="4" s="1"/>
  <c r="E33" i="16"/>
  <c r="F33" i="16" s="1"/>
  <c r="E24" i="4"/>
  <c r="F24" i="4" s="1"/>
  <c r="E22" i="16"/>
  <c r="F22" i="16" s="1"/>
  <c r="E17" i="4"/>
  <c r="F17" i="4" s="1"/>
  <c r="E17" i="16"/>
  <c r="F17" i="16" s="1"/>
  <c r="E12" i="4"/>
  <c r="F12" i="4" s="1"/>
  <c r="E50" i="16"/>
  <c r="F50" i="16" s="1"/>
  <c r="F31" i="16"/>
  <c r="E23" i="4"/>
  <c r="F23" i="4" s="1"/>
  <c r="E12" i="16"/>
  <c r="F12" i="16" s="1"/>
  <c r="E8" i="16"/>
  <c r="F8" i="16" s="1"/>
  <c r="E6" i="4"/>
  <c r="F6" i="4" s="1"/>
  <c r="E35" i="16"/>
  <c r="F35" i="16" s="1"/>
  <c r="E25" i="4"/>
  <c r="F25" i="4" s="1"/>
  <c r="E15" i="16"/>
  <c r="F15" i="16" s="1"/>
  <c r="E11" i="4"/>
  <c r="F11" i="4" s="1"/>
  <c r="E39" i="16"/>
  <c r="F39" i="16" s="1"/>
  <c r="E32" i="16"/>
  <c r="F32" i="16" s="1"/>
  <c r="E40" i="16"/>
  <c r="F40" i="16" s="1"/>
  <c r="E29" i="4"/>
  <c r="F29" i="4" s="1"/>
  <c r="E34" i="16"/>
  <c r="F34" i="16" s="1"/>
  <c r="E49" i="16"/>
  <c r="F49" i="16" s="1"/>
  <c r="E35" i="4"/>
  <c r="F35" i="4" s="1"/>
  <c r="E14" i="16"/>
  <c r="F14" i="16" s="1"/>
  <c r="E41" i="16"/>
  <c r="F41" i="16" s="1"/>
  <c r="E44" i="16"/>
  <c r="F44" i="16" s="1"/>
  <c r="E31" i="4"/>
  <c r="F31" i="4" s="1"/>
  <c r="E30" i="16"/>
  <c r="F30" i="16" s="1"/>
  <c r="B76" i="2" l="1"/>
  <c r="B75" i="2"/>
  <c r="C76" i="2"/>
  <c r="E76" i="2" s="1"/>
  <c r="C75" i="2"/>
  <c r="E75" i="2" s="1"/>
  <c r="H2" i="2"/>
  <c r="B2" i="2" l="1"/>
  <c r="C2" i="2"/>
  <c r="B3" i="2"/>
  <c r="C3" i="2"/>
  <c r="E3" i="2" s="1"/>
  <c r="B4" i="2"/>
  <c r="C4" i="2"/>
  <c r="E4" i="2" s="1"/>
  <c r="B5" i="2"/>
  <c r="C5" i="2"/>
  <c r="E5" i="2" s="1"/>
  <c r="B6" i="2"/>
  <c r="C6" i="2"/>
  <c r="B7" i="2"/>
  <c r="C7" i="2"/>
  <c r="E7" i="2" s="1"/>
  <c r="B13" i="2"/>
  <c r="B16" i="2"/>
  <c r="B17" i="2"/>
  <c r="B18" i="2"/>
  <c r="B19" i="2"/>
  <c r="B20" i="2"/>
  <c r="B21" i="2"/>
  <c r="B22" i="2"/>
  <c r="B23" i="2"/>
  <c r="B24" i="2"/>
  <c r="B25" i="2"/>
  <c r="C29" i="2"/>
  <c r="E29" i="2" s="1"/>
  <c r="C30" i="2"/>
  <c r="E30" i="2" s="1"/>
  <c r="C31" i="2"/>
  <c r="E31" i="2" s="1"/>
  <c r="C33" i="2"/>
  <c r="E33" i="2" s="1"/>
  <c r="C34" i="2"/>
  <c r="E34" i="2" s="1"/>
  <c r="C36" i="2"/>
  <c r="E36" i="2" s="1"/>
  <c r="C37" i="2"/>
  <c r="E37" i="2" s="1"/>
  <c r="C38" i="2"/>
  <c r="E38" i="2" s="1"/>
  <c r="C39" i="2"/>
  <c r="E39" i="2" s="1"/>
  <c r="B44" i="2"/>
  <c r="C44" i="2"/>
  <c r="E44" i="2" s="1"/>
  <c r="C45" i="2"/>
  <c r="E45" i="2" s="1"/>
  <c r="B46" i="2"/>
  <c r="C46" i="2"/>
  <c r="E46" i="2" s="1"/>
  <c r="B47" i="2"/>
  <c r="C47" i="2"/>
  <c r="E47" i="2" s="1"/>
  <c r="B48" i="2"/>
  <c r="C48" i="2"/>
  <c r="E48" i="2" s="1"/>
  <c r="B49" i="2"/>
  <c r="C49" i="2"/>
  <c r="E49" i="2" s="1"/>
  <c r="B50" i="2"/>
  <c r="C50" i="2"/>
  <c r="E50" i="2" s="1"/>
  <c r="B51" i="2"/>
  <c r="C51" i="2"/>
  <c r="E51" i="2" s="1"/>
  <c r="B52" i="2"/>
  <c r="B53" i="2"/>
  <c r="E53" i="2"/>
  <c r="B55" i="2"/>
  <c r="C59" i="2"/>
  <c r="E59" i="2" s="1"/>
  <c r="C60" i="2"/>
  <c r="E60" i="2" s="1"/>
  <c r="C61" i="2"/>
  <c r="E61" i="2" s="1"/>
  <c r="C63" i="2"/>
  <c r="E63" i="2" s="1"/>
  <c r="C64" i="2"/>
  <c r="E64" i="2" s="1"/>
  <c r="C66" i="2"/>
  <c r="E66" i="2" s="1"/>
  <c r="C67" i="2"/>
  <c r="E67" i="2" s="1"/>
  <c r="C68" i="2"/>
  <c r="E68" i="2" s="1"/>
  <c r="C69" i="2"/>
  <c r="E69" i="2" s="1"/>
  <c r="C70" i="2"/>
  <c r="E70" i="2" s="1"/>
  <c r="B74" i="2"/>
  <c r="C74" i="2"/>
  <c r="E74" i="2" s="1"/>
  <c r="F49" i="2"/>
  <c r="F48" i="2"/>
  <c r="F47" i="2"/>
  <c r="F46" i="2"/>
  <c r="F45" i="2"/>
  <c r="F44" i="2"/>
  <c r="F29" i="2"/>
  <c r="F7" i="2"/>
  <c r="F6" i="2"/>
  <c r="F5" i="2"/>
  <c r="F4" i="2"/>
  <c r="F3" i="2"/>
  <c r="F2" i="2"/>
  <c r="E6" i="2" l="1"/>
  <c r="E2" i="2"/>
</calcChain>
</file>

<file path=xl/sharedStrings.xml><?xml version="1.0" encoding="utf-8"?>
<sst xmlns="http://schemas.openxmlformats.org/spreadsheetml/2006/main" count="2388" uniqueCount="659">
  <si>
    <t>MES</t>
  </si>
  <si>
    <t>BANCO</t>
  </si>
  <si>
    <t>VALOR</t>
  </si>
  <si>
    <t>FECHA CONSIGNACION</t>
  </si>
  <si>
    <t>FECHA PAGO SEGÚN CALENDARIO TRIBUTARIO</t>
  </si>
  <si>
    <t>DIAS INCUMPLIDOS</t>
  </si>
  <si>
    <t>CUATRIMESTRE</t>
  </si>
  <si>
    <t>FECHA DE PRESENTACION DIAN</t>
  </si>
  <si>
    <t xml:space="preserve">Abril </t>
  </si>
  <si>
    <t xml:space="preserve">Enero </t>
  </si>
  <si>
    <t>CUMPLE</t>
  </si>
  <si>
    <t>OBSERVACIONES</t>
  </si>
  <si>
    <t xml:space="preserve">FECHA ENVIO </t>
  </si>
  <si>
    <t>FECHA DE ENVIO</t>
  </si>
  <si>
    <t>Mayo</t>
  </si>
  <si>
    <t>Junio</t>
  </si>
  <si>
    <t>Julio</t>
  </si>
  <si>
    <t>Agosto</t>
  </si>
  <si>
    <t>Septiembre</t>
  </si>
  <si>
    <t>Octubre</t>
  </si>
  <si>
    <t>Noviembre</t>
  </si>
  <si>
    <t>Diciembre</t>
  </si>
  <si>
    <t>Enero</t>
  </si>
  <si>
    <t>Febrero</t>
  </si>
  <si>
    <t>Marzo</t>
  </si>
  <si>
    <t>Abril</t>
  </si>
  <si>
    <t xml:space="preserve">Enero  - Abril </t>
  </si>
  <si>
    <t>Mayo - Agosto</t>
  </si>
  <si>
    <t>Septiembre - Diciembre</t>
  </si>
  <si>
    <t xml:space="preserve">Febrero </t>
  </si>
  <si>
    <t>AÑO 2017</t>
  </si>
  <si>
    <t>AÑO 2018</t>
  </si>
  <si>
    <t>AÑO 2019</t>
  </si>
  <si>
    <t>REPORTE AL I.C.B.F RELACIONES DE HIJOS EXTRAMATRIMONIALES-DEFENSOR DE FAMILIA. DEFENSOR DE FAMILIA-COMISARIO DE FAMILIA-ACTAS COMPLEMENTARIAS.</t>
  </si>
  <si>
    <t>PERIODO</t>
  </si>
  <si>
    <t>FECHA PRESENTACION</t>
  </si>
  <si>
    <t>FECHA VENCIMIENTO</t>
  </si>
  <si>
    <t>FECHA PAGO</t>
  </si>
  <si>
    <t xml:space="preserve">Julio </t>
  </si>
  <si>
    <t xml:space="preserve">Junio </t>
  </si>
  <si>
    <t>AÑO 2020</t>
  </si>
  <si>
    <t>AÑO 2021</t>
  </si>
  <si>
    <t>AÑO 2022</t>
  </si>
  <si>
    <t>ESCRITURA Y FECHA</t>
  </si>
  <si>
    <t>FECHA FACTURA</t>
  </si>
  <si>
    <t xml:space="preserve">Septiembre </t>
  </si>
  <si>
    <t xml:space="preserve">Octubre </t>
  </si>
  <si>
    <t>Septiembre - Octubre</t>
  </si>
  <si>
    <t>Noviembre - Diciembre</t>
  </si>
  <si>
    <t xml:space="preserve">Marzo - Abril </t>
  </si>
  <si>
    <t>Mayo - Junio</t>
  </si>
  <si>
    <t xml:space="preserve">Niguna </t>
  </si>
  <si>
    <t>5/0$/2019</t>
  </si>
  <si>
    <t>7/0/2019</t>
  </si>
  <si>
    <t xml:space="preserve">Por pandemia se envia en una misma fecha </t>
  </si>
  <si>
    <t>10/12/1021</t>
  </si>
  <si>
    <t xml:space="preserve">Noviembre </t>
  </si>
  <si>
    <t>No hubo</t>
  </si>
  <si>
    <t>Ninguna</t>
  </si>
  <si>
    <t>Agosto - Diciembre</t>
  </si>
  <si>
    <t>Enero - Marzo</t>
  </si>
  <si>
    <t>Mayo - Julio</t>
  </si>
  <si>
    <t xml:space="preserve">Enero - Diciembre  </t>
  </si>
  <si>
    <t>FECHA CONSIGNACIÓN</t>
  </si>
  <si>
    <t xml:space="preserve">Ninguna </t>
  </si>
  <si>
    <t>AÑO 2023</t>
  </si>
  <si>
    <t>Recaudo</t>
  </si>
  <si>
    <t>AÑO 2024</t>
  </si>
  <si>
    <t>Aporte</t>
  </si>
  <si>
    <t>Enero  - Febrero</t>
  </si>
  <si>
    <t>Julio .- Agosto</t>
  </si>
  <si>
    <t>BIMESTRAL</t>
  </si>
  <si>
    <t>Tarifa Plena</t>
  </si>
  <si>
    <t>Tarifa Especial</t>
  </si>
  <si>
    <t>Rango de Escrituras</t>
  </si>
  <si>
    <t>|</t>
  </si>
  <si>
    <t>Salario Mensual</t>
  </si>
  <si>
    <t>Salud Empleado</t>
  </si>
  <si>
    <t>Salud Empleador</t>
  </si>
  <si>
    <t>Pensión Empleado</t>
  </si>
  <si>
    <t>Pensión Empleador</t>
  </si>
  <si>
    <t>Prima</t>
  </si>
  <si>
    <t>Cesantías</t>
  </si>
  <si>
    <t>Intereses a las Cesantías</t>
  </si>
  <si>
    <t>Vacaciones</t>
  </si>
  <si>
    <t>Auxilio de transporte</t>
  </si>
  <si>
    <t>Historico salarios mínimos</t>
  </si>
  <si>
    <t>Salario Mensual Base</t>
  </si>
  <si>
    <t>ARL</t>
  </si>
  <si>
    <t>Nivel de Riesgo</t>
  </si>
  <si>
    <t xml:space="preserve">Porcentaje </t>
  </si>
  <si>
    <t>Riesgo I</t>
  </si>
  <si>
    <t>Riesgo II</t>
  </si>
  <si>
    <t>Riesgo III</t>
  </si>
  <si>
    <t>Riesgo IV</t>
  </si>
  <si>
    <t>Riesgo V</t>
  </si>
  <si>
    <t>Días trabajados en el Semestre</t>
  </si>
  <si>
    <t>Días trabajados en el Año</t>
  </si>
  <si>
    <t>Cajas de compensación familiar</t>
  </si>
  <si>
    <t>I.C.B.F. (3%).</t>
  </si>
  <si>
    <t>Sena</t>
  </si>
  <si>
    <t xml:space="preserve">Total Días </t>
  </si>
  <si>
    <t>Día inicial</t>
  </si>
  <si>
    <t>Dia final</t>
  </si>
  <si>
    <t>Cuantía</t>
  </si>
  <si>
    <t>Ajustado a la Centena</t>
  </si>
  <si>
    <t>Número de escrituras autorizadas</t>
  </si>
  <si>
    <t>Aporte por escritura</t>
  </si>
  <si>
    <t>Acto sin cuantía y escritura Excenta</t>
  </si>
  <si>
    <t>De 0.00 a 100.000.000,00</t>
  </si>
  <si>
    <t>De 100.000.001,00 a 300.000.000.00</t>
  </si>
  <si>
    <t>De 300.000.001,00 a 500.000.000,00</t>
  </si>
  <si>
    <t>De 500.000.001,00 a 1.000.000.000,00</t>
  </si>
  <si>
    <t>De 1.000.000.001,00 a 1.500.000.000,00</t>
  </si>
  <si>
    <t>De 1.500.000.001,00 en adelante</t>
  </si>
  <si>
    <t>Resolución 01299 de 2020</t>
  </si>
  <si>
    <t>Resolución 00536 de 2021</t>
  </si>
  <si>
    <t>Resolución 00755 de 2022</t>
  </si>
  <si>
    <t>Resolución 00387 de 2023</t>
  </si>
  <si>
    <t>Resolución 00773 de 2024</t>
  </si>
  <si>
    <t>Escritura Inicial</t>
  </si>
  <si>
    <t>Escritura Final</t>
  </si>
  <si>
    <t>Total</t>
  </si>
  <si>
    <t>Tope entre Privados</t>
  </si>
  <si>
    <t>Tope entre Privado - Exento</t>
  </si>
  <si>
    <t>Valor del Aporte Especial</t>
  </si>
  <si>
    <t>Valor del Derechos</t>
  </si>
  <si>
    <t>Valor Derechos</t>
  </si>
  <si>
    <t>Enero - Febrero</t>
  </si>
  <si>
    <t>Julio - Agosto</t>
  </si>
  <si>
    <t>Último dig</t>
  </si>
  <si>
    <t>DATO UN</t>
  </si>
  <si>
    <t>ENERO</t>
  </si>
  <si>
    <t>FEBRERO</t>
  </si>
  <si>
    <t>MARZO</t>
  </si>
  <si>
    <t>ABRIL</t>
  </si>
  <si>
    <t>MAYO</t>
  </si>
  <si>
    <t>JUNIO</t>
  </si>
  <si>
    <t>JULIO</t>
  </si>
  <si>
    <t>AGOSTO</t>
  </si>
  <si>
    <t>SEPTIEMBRE</t>
  </si>
  <si>
    <t>OCTUBRE</t>
  </si>
  <si>
    <t>NOVIEMBRE</t>
  </si>
  <si>
    <t>DICIEMBRE</t>
  </si>
  <si>
    <t>Fechas de Retención en la Fuente</t>
  </si>
  <si>
    <t>Fechas IVA Bimestral</t>
  </si>
  <si>
    <t>Fechas IVA Cuatrimestral</t>
  </si>
  <si>
    <t>Último Dig</t>
  </si>
  <si>
    <t>Marzo - Abril</t>
  </si>
  <si>
    <t>Últ Dígito</t>
  </si>
  <si>
    <t>Enero - Abril</t>
  </si>
  <si>
    <t>ÚLTIMOS DÍGITOS</t>
  </si>
  <si>
    <t>FECHA</t>
  </si>
  <si>
    <t>91 a 00</t>
  </si>
  <si>
    <t>16 de junio de 2020</t>
  </si>
  <si>
    <t>81 a 90</t>
  </si>
  <si>
    <t>17 de junio de 2020</t>
  </si>
  <si>
    <t>71 a 80</t>
  </si>
  <si>
    <t>18 de junio de 2020</t>
  </si>
  <si>
    <t>61 a 70</t>
  </si>
  <si>
    <t>19 de junio de 2020</t>
  </si>
  <si>
    <t>51 a 60</t>
  </si>
  <si>
    <t>23 de junio de 2020</t>
  </si>
  <si>
    <t>41 a 50</t>
  </si>
  <si>
    <t>24 de junio de 2020</t>
  </si>
  <si>
    <t>31 a 40</t>
  </si>
  <si>
    <t>25 de junio de 2020</t>
  </si>
  <si>
    <t>21 a 30</t>
  </si>
  <si>
    <t>26 de junio de 2020</t>
  </si>
  <si>
    <t>11 a 20</t>
  </si>
  <si>
    <t>30 de junio de 2020</t>
  </si>
  <si>
    <t>01 a 10</t>
  </si>
  <si>
    <t>01 de julio de 2020</t>
  </si>
  <si>
    <t>Año 2019</t>
  </si>
  <si>
    <t>25 de Mayo de 2021</t>
  </si>
  <si>
    <t>26 de Mayo de 2021</t>
  </si>
  <si>
    <t>27 de Mayo de 2021</t>
  </si>
  <si>
    <t>28 de Mayo de 2021</t>
  </si>
  <si>
    <t>31 de Mayo de 2021</t>
  </si>
  <si>
    <t>01 de Junio de 2021</t>
  </si>
  <si>
    <t>02 de Junio de 2021</t>
  </si>
  <si>
    <t>03 de Junio de 2021</t>
  </si>
  <si>
    <t>04 de Junio de 2021</t>
  </si>
  <si>
    <t>08 de Junio de 2021</t>
  </si>
  <si>
    <t>09 de Junio de 2021</t>
  </si>
  <si>
    <t>10 de Junio de 2021</t>
  </si>
  <si>
    <t>11 de Junio de 2021</t>
  </si>
  <si>
    <t>15 de Junio de 2021</t>
  </si>
  <si>
    <t>16 de Junio de 2021</t>
  </si>
  <si>
    <t>Año 2020</t>
  </si>
  <si>
    <t>10 de Mayo de 2022</t>
  </si>
  <si>
    <t>11 de Mayo de 2022</t>
  </si>
  <si>
    <t>12 de Mayo de 2022</t>
  </si>
  <si>
    <t>13 de Mayo de 2022</t>
  </si>
  <si>
    <t>16 de Mayo de 2022</t>
  </si>
  <si>
    <t>17 de Mayo de 2022</t>
  </si>
  <si>
    <t>18 de Mayo de 2022</t>
  </si>
  <si>
    <t>19 de Mayo de 2022</t>
  </si>
  <si>
    <t>20 de Mayo de 2022</t>
  </si>
  <si>
    <t>23 de Mayo de 2022</t>
  </si>
  <si>
    <t>24 de Mayo de 2022</t>
  </si>
  <si>
    <t>25 de Mayo de 2022</t>
  </si>
  <si>
    <t>26 de Mayo de 2022</t>
  </si>
  <si>
    <t>27 de Mayo de 2022</t>
  </si>
  <si>
    <t>31 de Mayo de 2022</t>
  </si>
  <si>
    <t>01 de Junio de 2022</t>
  </si>
  <si>
    <t>02 de Junio de 2022</t>
  </si>
  <si>
    <t>03 de Junio de 2022</t>
  </si>
  <si>
    <t>06 de Junio de 2022</t>
  </si>
  <si>
    <t>07 de Junio de 2022</t>
  </si>
  <si>
    <t>Año 2021</t>
  </si>
  <si>
    <t>Año 2022</t>
  </si>
  <si>
    <t>16 de Mayo de 2023</t>
  </si>
  <si>
    <t>17 de Mayo de 2023</t>
  </si>
  <si>
    <t>18 de Mayo de 2023</t>
  </si>
  <si>
    <t>19 de Mayo de 2023</t>
  </si>
  <si>
    <t>23 de Mayo de 2023</t>
  </si>
  <si>
    <t>24 de Mayo de 2023</t>
  </si>
  <si>
    <t>25 de Mayo de 2023</t>
  </si>
  <si>
    <t>26 de Mayo de 2023</t>
  </si>
  <si>
    <t>29 de Mayo de 2023</t>
  </si>
  <si>
    <t>30 de Mayo de 2023</t>
  </si>
  <si>
    <t>31 de Mayo de 2023</t>
  </si>
  <si>
    <t>01 de Junio de 2023</t>
  </si>
  <si>
    <t>02 de Junio de 2023</t>
  </si>
  <si>
    <t>05 de Junio de 2023</t>
  </si>
  <si>
    <t>06 de Junio de 2023</t>
  </si>
  <si>
    <t>07 de Junio de 2023</t>
  </si>
  <si>
    <t>08 de Junio de 2023</t>
  </si>
  <si>
    <t>09 de Junio de 2023</t>
  </si>
  <si>
    <t>13 de Junio de 2023</t>
  </si>
  <si>
    <t>14 de Junio de 2023</t>
  </si>
  <si>
    <t>Año 2023</t>
  </si>
  <si>
    <t>08 de Mayo de 2024</t>
  </si>
  <si>
    <t>09 de Mayo de 2024</t>
  </si>
  <si>
    <t>10 de Mayo de 2024</t>
  </si>
  <si>
    <t>14 de Mayo de 2024</t>
  </si>
  <si>
    <t>15 de Mayo de 2024</t>
  </si>
  <si>
    <t>16 de Mayo de 2024</t>
  </si>
  <si>
    <t>17 de Mayo de 2024</t>
  </si>
  <si>
    <t>20 de Mayo de 2024</t>
  </si>
  <si>
    <t>21 de Mayo de 2024</t>
  </si>
  <si>
    <t>22 de Mayo de 2024</t>
  </si>
  <si>
    <t>23 de Mayo de 2024</t>
  </si>
  <si>
    <t>24 de Mayo de 2024</t>
  </si>
  <si>
    <t>27 de Mayo de 2024</t>
  </si>
  <si>
    <t>28 de Mayo de 2024</t>
  </si>
  <si>
    <t>29 de Mayo de 2024</t>
  </si>
  <si>
    <t>30 de Mayo de 2024</t>
  </si>
  <si>
    <t>31 de Mayo de 2024</t>
  </si>
  <si>
    <t>04 de Junio de 2024</t>
  </si>
  <si>
    <t>05 de Junio de 2024</t>
  </si>
  <si>
    <t>06 de Junio de 2024</t>
  </si>
  <si>
    <t>IMPUESTO DE TIMBRE</t>
  </si>
  <si>
    <t>AÑO</t>
  </si>
  <si>
    <t>VALOR UVT</t>
  </si>
  <si>
    <t>EN PESOS</t>
  </si>
  <si>
    <t>RANGOS UVT</t>
  </si>
  <si>
    <t>TARIFA MARGINAL</t>
  </si>
  <si>
    <t>IMPUESTO</t>
  </si>
  <si>
    <t>DESDE</t>
  </si>
  <si>
    <t>HASTA</t>
  </si>
  <si>
    <t>&gt; 20.000</t>
  </si>
  <si>
    <t>(VALOR DE LA ENAJENACIÓN EN UVT MENOS 20.000 UVT) * 1,5%</t>
  </si>
  <si>
    <t>&gt; 50.000</t>
  </si>
  <si>
    <t>En Adelante</t>
  </si>
  <si>
    <t>((VALOR DE LA ENAJENACIÓN EN UVT MENOS 50.000 UVT) * 3%) + 450 UVT</t>
  </si>
  <si>
    <t>Valor Inmueble</t>
  </si>
  <si>
    <t>pesos</t>
  </si>
  <si>
    <t>valor en UVT</t>
  </si>
  <si>
    <t>UVT</t>
  </si>
  <si>
    <t xml:space="preserve">2. </t>
  </si>
  <si>
    <t>valor enajenación - UVT correspondientes.</t>
  </si>
  <si>
    <t xml:space="preserve">3. </t>
  </si>
  <si>
    <t>Aplicación Tarifa</t>
  </si>
  <si>
    <t>4.</t>
  </si>
  <si>
    <t>Valor a Pagar</t>
  </si>
  <si>
    <t>Impuesto de Timbre</t>
  </si>
  <si>
    <t>50.000 UVT</t>
  </si>
  <si>
    <t>1.</t>
  </si>
  <si>
    <t>Valor en UVT</t>
  </si>
  <si>
    <t>2.</t>
  </si>
  <si>
    <t>Valor Enajenación - UVT correspondientes.</t>
  </si>
  <si>
    <t>3.</t>
  </si>
  <si>
    <t>Suma UVT</t>
  </si>
  <si>
    <t>5.</t>
  </si>
  <si>
    <t>ANUAL</t>
  </si>
  <si>
    <t>FECHA DE OBLIGACIÓN</t>
  </si>
  <si>
    <t>Número de escrituras</t>
  </si>
  <si>
    <t>Recaudado</t>
  </si>
  <si>
    <t>Aporte a recaudos</t>
  </si>
  <si>
    <t>PSE</t>
  </si>
  <si>
    <t>Resolución 00585 del 24 de enero de 2025</t>
  </si>
  <si>
    <t>Número mes</t>
  </si>
  <si>
    <t>Año</t>
  </si>
  <si>
    <t>MODIFICACIÓN TRANSITORIA POR DECRETO 175 DE 2025</t>
  </si>
  <si>
    <t>Vigencia</t>
  </si>
  <si>
    <t>Hecho gravado</t>
  </si>
  <si>
    <t>Sujeto gravado</t>
  </si>
  <si>
    <t>Tarifa</t>
  </si>
  <si>
    <t>Valor a pagar</t>
  </si>
  <si>
    <t>sobre los instrumentos públicos y documentos privados, incluidos los títulos valores, que se otorguen o acepten en el país, o que se otorguen fuera del país pero que se ejecuten en el territorio nacional o generen obligaciones en el mismo, en los que se haga constar la constitución, existencia, modificación o extinción de obligaciones, al igual que su prórroga o cesión</t>
  </si>
  <si>
    <t>en los cuales intervenga como otorgante, aceptante o suscriptor una entidad pública, una persona jurídica o asimilada, o una persona natural que tenga la calidad de comerciante, que en el año inmediatamente anterior tuviere unos ingresos brutos o un patrimonio bruto superior a treinta mil (30.000) Unidades de Valor Tributario, UVT.</t>
  </si>
  <si>
    <t>Cuantía del acto</t>
  </si>
  <si>
    <t>600 UVT</t>
  </si>
  <si>
    <t>Valor según rango</t>
  </si>
  <si>
    <t>AÑO 2025</t>
  </si>
  <si>
    <t>+</t>
  </si>
  <si>
    <t>14 de mayo de 2025</t>
  </si>
  <si>
    <t>15 de mayo de 2025</t>
  </si>
  <si>
    <t>16 de mayo de 2025</t>
  </si>
  <si>
    <t>19 de mayo de 2025</t>
  </si>
  <si>
    <t>20 de mayo de 2025</t>
  </si>
  <si>
    <t>21 de mayo de 2025</t>
  </si>
  <si>
    <t>22 de mayo de 2025</t>
  </si>
  <si>
    <t>23 de mayo de 2025</t>
  </si>
  <si>
    <t>26 de mayo de 2025</t>
  </si>
  <si>
    <t>27 de mayo de 2025</t>
  </si>
  <si>
    <t>28 de mayo de 2025</t>
  </si>
  <si>
    <t>03 de junio de 2025</t>
  </si>
  <si>
    <t>04 de junio de 2025</t>
  </si>
  <si>
    <t>05 de junio de 2025</t>
  </si>
  <si>
    <t>06 de junio de 2025</t>
  </si>
  <si>
    <t>09 de junio de 2025</t>
  </si>
  <si>
    <t>10 de junio de 2025</t>
  </si>
  <si>
    <t>11 de junio de 2025</t>
  </si>
  <si>
    <t>12 de junio de 2025</t>
  </si>
  <si>
    <t>13 de junio de 2025</t>
  </si>
  <si>
    <t>Últimos digitos</t>
  </si>
  <si>
    <t>Fecha</t>
  </si>
  <si>
    <t>Extemporaneidad</t>
  </si>
  <si>
    <t>Cesantías + intereses</t>
  </si>
  <si>
    <t>Salario Quincenal</t>
  </si>
  <si>
    <t>Riesgo del Empleado</t>
  </si>
  <si>
    <t>Días de revisión</t>
  </si>
  <si>
    <t>Años de revisión</t>
  </si>
  <si>
    <t>Período</t>
  </si>
  <si>
    <t>Fecha de inicio</t>
  </si>
  <si>
    <t>Fecha final</t>
  </si>
  <si>
    <t>#EP Generan Aportes Año anterior</t>
  </si>
  <si>
    <t>No computadas (parr 1. art. 48)</t>
  </si>
  <si>
    <t>Total Escrituras Autorizadas</t>
  </si>
  <si>
    <t>No autorizadas (otras)</t>
  </si>
  <si>
    <t>¿Coincide con el rango reportado?</t>
  </si>
  <si>
    <t>¿Existen inconsistencias en la liquidación?</t>
  </si>
  <si>
    <t>Exentas de aportes + No autorizadas</t>
  </si>
  <si>
    <t>Liquidado</t>
  </si>
  <si>
    <t>¿Extemporáneo?</t>
  </si>
  <si>
    <t>ÚLTIMO DÍGITO CC</t>
  </si>
  <si>
    <t>Últimos 2 digitos Cédula de ciudadanía</t>
  </si>
  <si>
    <t>Formato de liquidación de recaudos</t>
  </si>
  <si>
    <t>INGRESOS BRUTOS</t>
  </si>
  <si>
    <t>ING. EXCLUIDOS</t>
  </si>
  <si>
    <t>Liquidación derechos notariales conforme avalúo de 83,662,882,000 y liquidación de impuesto de timbre conforme cuantía de la venta 70, 718,215,000.</t>
  </si>
  <si>
    <t>ERROR EXPLICADO</t>
  </si>
  <si>
    <t>No cuadra por 1</t>
  </si>
  <si>
    <t>ERROR DE 1</t>
  </si>
  <si>
    <t xml:space="preserve">ERROR por 33 se metieron como tarifa especial, pero se supone son exentas VIPA. </t>
  </si>
  <si>
    <t>Impuesto generado</t>
  </si>
  <si>
    <t>Ingreso bruto</t>
  </si>
  <si>
    <t>Registro Civil</t>
  </si>
  <si>
    <t>Método</t>
  </si>
  <si>
    <t>Se verifica tipo de aporte especial generado (entre privados o privado - exento), se verifica el cálculo del aporte y se verifica la cuantía del acto.</t>
  </si>
  <si>
    <t>*Ingresó el dinero en cartera el 6 de mayo de 2021</t>
  </si>
  <si>
    <t>CALCULADORA UNIFICADA DE IMPUESTO DE TIMBRE</t>
  </si>
  <si>
    <t>Valor enajenación</t>
  </si>
  <si>
    <t>Instrucciones de Empleo:
1. Una vez determinado el valor de los inmuebles enajenados escriba el valor en el cuadro naranja al frente de "Valor de enajenación".
2. Verifique el año en que se generó la enajenación.
3. Disfrute
4. No modifique las casillas adicionales, son meramente informativas.</t>
  </si>
  <si>
    <t>VIGENTE DESDE 2023 POR LEY 2277 DE 2022</t>
  </si>
  <si>
    <t>ARTÍCULO 114-1 Estatuto Tributario. 
Así mismo las personas naturales empleadoras estarán exoneradas de la obligación de pago de los aportes parafiscales al SENA, al ICBF y al Sistema de Seguridad Social en Salud por los empleados que devenguen menos de diez (10) salarios mínimos legales mensuales vigentes. Lo anterior no aplicará para personas naturales que empleen menos de dos trabajadores, los cuales seguirán obligados a efectuar los aportes de que trata este inciso.</t>
  </si>
  <si>
    <t>Total empleados</t>
  </si>
  <si>
    <t>Fondo de solidaridad pensional</t>
  </si>
  <si>
    <t>Inscripción de actos en el Registro del Estado Civil de las Personas que deban practicarse en las clínicas y hospitales.</t>
  </si>
  <si>
    <t>Art. 43 Lit. b)</t>
  </si>
  <si>
    <t>Inscripción de actos en el Registro del Estado Civil de las Personas que deban practicarse en el domicilio, por solicitud del usuario.</t>
  </si>
  <si>
    <t>Art. 43 Lit. a)</t>
  </si>
  <si>
    <t>Actuaciones notariales relativas a inscripciones en el Registro del Estado Civil de las Personas causarán los derechos notariales siguientes, según el desplazamiento.</t>
  </si>
  <si>
    <t>Art. 43</t>
  </si>
  <si>
    <t>Actuaciones notariales fuera de la Notaría</t>
  </si>
  <si>
    <t>En los términos del artículo 4 de la Ley 1163 de 2007, el valor de cada copia y certificación del Registro Civil que expiden los Notarios se cobrará de conformidad con lo establecido por el Registrador Nacional del Estado Civil.</t>
  </si>
  <si>
    <t>Art. 42</t>
  </si>
  <si>
    <t>Valor de las copias y certificados de Registros Civiles que expiden los Notarios debidamente autorizados por el Registrador Nacional del Estado Civil</t>
  </si>
  <si>
    <t>Ecritura pública de corrección de errores u omisiones en el Registro del Estado Civil de las Personas.</t>
  </si>
  <si>
    <t>Escritura pública para el cambio de nombre.</t>
  </si>
  <si>
    <t>Art. 41</t>
  </si>
  <si>
    <t>Cambio de nombre y corrección de Registro del Estado Civil de las personas</t>
  </si>
  <si>
    <t xml:space="preserve">Actos jurídicos de constitución de propiedad horizontal, divisiones materiales, subdivisión y liquidación de la comunidad, y/o reconocimiento de construcciones, que recaigan sobre bienes inmuebles ocupados con vivienda de interés social, que se encuentren ubicados en predios que hayan sido objeto de legalización urbanística, de acuerdo con las normas vigentes, se liquidarán como actos sin cuantía, cuando el beneficiario sea persona natural. Se liquidarán como actos sin cuantía los negocios jurídicos que impliquen la transferencia el derecho de dominio o la constitución de cualquier gravamen o limitación al dominio, cuando recaigan sobre viviendas de interés social que se encuentren ubicadas en predios que hayan sido objeto de legalización urbanística, de acuerdo con las normas vigentes, cuando el beneficiario sea persona natural (artículo 1 de la ley 1848 de 2017). </t>
  </si>
  <si>
    <t>Art. 36 Lit. h)</t>
  </si>
  <si>
    <t xml:space="preserve">Sustitución y cancelación voluntaria del patrimonio de familia inembargable voluntario. La escritura pública de constitución, sustitución y cancelación voluntaria del patrimonio de familia inembargable, causará por concepto de derechos notariales la tarifa fijada para los actos sin cuantía (artículo 2.2.6.15.2.10.2 Decreto 1069 de 2015). </t>
  </si>
  <si>
    <t>Art. 36 Lit. g)</t>
  </si>
  <si>
    <t>Constitución de patrimonio de familia inembargable voluntario (artículo 13 del Decreto número 2817 de 2006).</t>
  </si>
  <si>
    <t>Art. 36 Lit. f)</t>
  </si>
  <si>
    <t>Divorcio o cesación de los efectos civiles del matrimonio religioso en los términos del artículo 7 del Decreto Reglamentario 4436 de 2005.</t>
  </si>
  <si>
    <t>Art. 36 Lit. e)</t>
  </si>
  <si>
    <t xml:space="preserve">Escrituras públicas de cancelación del gravamen hipotecario y de constitución de patrimonio de familia de conformidad con lo dispuesto en los artículos 23 y 31 de la Ley 546 de 1999. </t>
  </si>
  <si>
    <t>Art. 36 Lit. d)</t>
  </si>
  <si>
    <t xml:space="preserve">Acuerdos de reestructuración y su desarrollo en escrituras públicas de conformidad con lo previsto en el artículo 31 de la Ley 550 de 1999. </t>
  </si>
  <si>
    <t>Art. 36 Lit. c)</t>
  </si>
  <si>
    <t>Transferencia a título de dación en pago de los inmuebles que garantizan una obligación hipotecaria (artículo 88 de la Ley 633 de 2000).</t>
  </si>
  <si>
    <t>Art. 36 Lit. b)</t>
  </si>
  <si>
    <t xml:space="preserve">Poder general otorgado por escritura pública; reglamento de propiedad horizontal elevado a escritura pública; cancelación, resolución y rescisión contractual; escritura de englobe, desenglobe, loteo o reloteo; cancelación de la administración anticrética; cancelación de la condición resolutoria expresa; las escrituras que versen sobre aclaración de nomenclatura, linderos, área, cédula o registro catastral, nombres o apellidos de los otorgantes, matrícula inmobiliaria; la afectación a vivienda familiar; otorgamiento de estamento y la escritura pública de corrección de errores.
aritméticos (artículos 103 y 104 del Decreto-ley 960 de 1970 y 49 del Decreto
número 2148 de 1983). </t>
  </si>
  <si>
    <t>Reconstrucción de una escritura pública</t>
  </si>
  <si>
    <t>Art. 36 Lit. a)</t>
  </si>
  <si>
    <t>Actos SIN Cuantía</t>
  </si>
  <si>
    <t>Art. 36</t>
  </si>
  <si>
    <t>Se pagará en todos aquellos casos cuya cuantía fuere determinable, como suma máxima.</t>
  </si>
  <si>
    <t>Art. 35</t>
  </si>
  <si>
    <t>Fundaciones de asistencia o beneficencia pública reconocidas por el Estado</t>
  </si>
  <si>
    <t xml:space="preserve">Constitución/modificación de gravámenes hipotecarios, a favor de un participante sistema especializado de financiación de vivienda, para crédito de vivienda individual de interés social no subsidiable, se liquidará al 40% de la tarifa ordinaria y para subsidiables, al 10% de la tarifa ordinaria. </t>
  </si>
  <si>
    <t>Art. 33</t>
  </si>
  <si>
    <t>Constitución o modificación de gravámenes hipotecarios en vivienda
de interés social subsidiable y no subsidiable</t>
  </si>
  <si>
    <t>Constitución/modificación de hipoteca para adquisición de vivienda con crédito a favor de un participante en sistema especializado de financiación de vivienda, se liquidará lo equivalente al 70% de la tarifa ordinaria.</t>
  </si>
  <si>
    <t>Art. 32</t>
  </si>
  <si>
    <t>Sistema especializado de financiación de vivienda</t>
  </si>
  <si>
    <t>Cuando se cumplan las condiciones de los Decretos números 2158 de 1995 y 371 de 1996. Tarifa única especial, sin consideración al número de actos.</t>
  </si>
  <si>
    <t>Art. 31 Pr. 3</t>
  </si>
  <si>
    <t xml:space="preserve">Mejoras de vivienda con dinero proveniente de subsidio de vivienda familiar, la tarifa equivalente a la mitad de la ordinaria; la protocolización del acto de subsidio no causará derechos notariales adicionales. </t>
  </si>
  <si>
    <t>Art. 31 Pr. 2</t>
  </si>
  <si>
    <t xml:space="preserve">Copias con destino a la Oficina de Catastro, Oficina de Registro de Instrumentos Públicos y la primera copia para el interesado, aplicará la mitad de la tarifa ordinaria señalada para las copias. </t>
  </si>
  <si>
    <t>Art. 31 Pr. 1</t>
  </si>
  <si>
    <t xml:space="preserve">Se causarán derechos notariales equivalentes a la mitad de los ordinarios señalados en la tarifa. </t>
  </si>
  <si>
    <t>Art. 31</t>
  </si>
  <si>
    <t>Compraventa e hipoteca de vivienda de interés social</t>
  </si>
  <si>
    <t>Representantes de estas entidades, con su firma registrada en la Notaría, podrán ser autorizados para suscribir instrumentos fuera del despacho.</t>
  </si>
  <si>
    <t xml:space="preserve">Suscripción representantes legales entidades oficiales y particulares. </t>
  </si>
  <si>
    <t>Art. 30 Lit. c)</t>
  </si>
  <si>
    <t>Causará derechos adicionales.</t>
  </si>
  <si>
    <t>Autorización de instrumentos en la cabecera del círculo.</t>
  </si>
  <si>
    <t>Art. 30 Lit. b)</t>
  </si>
  <si>
    <t xml:space="preserve">Autorización de instrumentos fuera de la cabecera del círculo. </t>
  </si>
  <si>
    <t>Art. 30 Lit. a)</t>
  </si>
  <si>
    <t>Función Notarial fuera del Despacho</t>
  </si>
  <si>
    <t>Art. 30</t>
  </si>
  <si>
    <t>Causarán los mismos derechos notariales que los de la escritura de constitución, salvo en lo previsto en el artículo 38 de esta resolución.</t>
  </si>
  <si>
    <t>Art. 29</t>
  </si>
  <si>
    <t>Cancelación de deuda e hipoteca</t>
  </si>
  <si>
    <t>Se liquidarán con base en el coeficiente que tenga el inmueble hipotecado en el respectivo régimen de propiedad horizontal.</t>
  </si>
  <si>
    <t>Art. 28</t>
  </si>
  <si>
    <t>Cancelaciones  parciales de hipotecas</t>
  </si>
  <si>
    <t>Se liquidarán con base en el mismo monto que se tuvo en cuenta para su constitución.</t>
  </si>
  <si>
    <t>Art. 27</t>
  </si>
  <si>
    <t>Cancelación de hipotecas abiertas</t>
  </si>
  <si>
    <t xml:space="preserve">Los derechos notariales correspondientes a la hipoteca se liquidarán con base en el precio de la venta, cuando en el instrumento no se señale la parte del precio garantizado con la hipoteca. </t>
  </si>
  <si>
    <t>Art. 26</t>
  </si>
  <si>
    <t>Venta con hipoteca abierta sin límite de cuantía</t>
  </si>
  <si>
    <t xml:space="preserve">Los derechos notariales se liquidarán con base en la constancia, documento o carta que para tal efecto deberá presentar la persona o entidad acreedora, en la que se fijará de manera clara y precisa el cupo o monto del crédito aprobado que garantiza la respectiva hipoteca. </t>
  </si>
  <si>
    <t>Art. 25</t>
  </si>
  <si>
    <t>Hipotecas abiertas sin límite de cuantía</t>
  </si>
  <si>
    <t>Hipotecas abiertas en donde se fijen las cuantías máximas de la obligación, los derechos notariales se liquidarán con base en dicha cuantía.</t>
  </si>
  <si>
    <t>Art. 24</t>
  </si>
  <si>
    <t>Hipotecas abiertas con límite de cuantía</t>
  </si>
  <si>
    <t>Cuando la cuantía del acto sea inferior a la del avalúo catastral, al autoavalúo o al valor del remate, los derechos se liquidarán con base en el concepto de los mencionados que presente el mayor valor.</t>
  </si>
  <si>
    <t>Art. 23</t>
  </si>
  <si>
    <t>Contrato de leasing sin escritura pública.</t>
  </si>
  <si>
    <t>Los derechos notariales se liquidarán teniendo en cuenta la cuantía total de tales prestaciones. Si el plazo fuere indeterminado la base de la liquidación será el monto de la misma en cinco años.</t>
  </si>
  <si>
    <t>Art. 22</t>
  </si>
  <si>
    <t>Leasing</t>
  </si>
  <si>
    <t>Se tendrá como cuantía del acto el valor estipulado como remuneración para el fiduciario.</t>
  </si>
  <si>
    <t>Art. 21</t>
  </si>
  <si>
    <t>Fiducia de Administración</t>
  </si>
  <si>
    <t>Causará por derechos notariales los ordenados para las hipotecas.</t>
  </si>
  <si>
    <t>Art. 20</t>
  </si>
  <si>
    <t>Fiducia en Garantía</t>
  </si>
  <si>
    <t>Se tendrán como acto con cuantía, y se cobrará de conformidad con lo dispuesto en el literal b) del artículo 2.</t>
  </si>
  <si>
    <t>Art. 19</t>
  </si>
  <si>
    <t>Fiducia Mercantil</t>
  </si>
  <si>
    <t>Referente a reformas estatutarias con incremento de capital, los respectivos derechos estarán a cargo de tales organismos, tomando como base el incremento dado.</t>
  </si>
  <si>
    <t>Se liquidarán sobre la base de los aportes de los particulares y de las entidades no exentas que intervengan en el acto, los cuales pagarán en proporción a los mismos.</t>
  </si>
  <si>
    <t>Art. 18</t>
  </si>
  <si>
    <t>Constitución y reformas estatutarias de sociedades de economía mixta</t>
  </si>
  <si>
    <t>Referente a reformas estatutarias con incremento de capital, los respectivos derechos estarán a cargo de las Empresas Industriales y Comerciales del Estado, tomando como base el incremento dado.</t>
  </si>
  <si>
    <t>Se liquidará sobre la base de los aportes de las entidades no exentas que intervengan en el acto, las cuales pagarán en proporción a sus aportes.</t>
  </si>
  <si>
    <t>Art. 17</t>
  </si>
  <si>
    <t>Constitución y Reformas estatutarias de Empresas Industriales y
Comerciales del Estado</t>
  </si>
  <si>
    <t xml:space="preserve">Se tomará como base el activo líquido, pero en todo caso será necesario protocolizar el balance debidamente firmado por contador en el cual se señale el pasivo declarado. </t>
  </si>
  <si>
    <t>A Pagar</t>
  </si>
  <si>
    <t>Liquidación de Sociedades</t>
  </si>
  <si>
    <t>Art. 16 Lit. f)</t>
  </si>
  <si>
    <t>Cambio de razón social y prórroga del término de duración de una sociedad, se efectuará como acto sin cuantía.</t>
  </si>
  <si>
    <t>Cambio de Razón Social</t>
  </si>
  <si>
    <t>Art. 16 Lit. e)</t>
  </si>
  <si>
    <t>Se liquidarán como acto sin cuantía.</t>
  </si>
  <si>
    <t>Escisión de Sociedades</t>
  </si>
  <si>
    <t>Art. 16 Lit. d)</t>
  </si>
  <si>
    <t>Se tomará como base el capital de la nueva sociedad o de la absorbente. En la transformación de una sociedad, será con base en el capital social. Siendo el capital suscrito el de las sociedades por acciones.</t>
  </si>
  <si>
    <t>Fusión de Sociedades</t>
  </si>
  <si>
    <t>Art. 16 Lit. c)</t>
  </si>
  <si>
    <t>Cuando la reforma implique disminución del capital, la liquidación se efectuará como acto sin cuantía.</t>
  </si>
  <si>
    <t>Reforma Estatutaria con Disminución de Capital</t>
  </si>
  <si>
    <t>Art. 16 Lit. b)</t>
  </si>
  <si>
    <t>Se liquidará sobre el incremento respectivo; en los demás casos en las sociedades por acciones, entiéndase como capital social.
el suscrito</t>
  </si>
  <si>
    <t>Reforma Estatutaria</t>
  </si>
  <si>
    <t>Art. 16 Lit. a)</t>
  </si>
  <si>
    <t>Se toma como base el capital social suscrito, excepto en las escrituras de constitución de sociedades por acciones, en las cuales la liquidación de se hará con base en el capital autorizado.</t>
  </si>
  <si>
    <t>Art. 16</t>
  </si>
  <si>
    <t>SOCIEDADES</t>
  </si>
  <si>
    <t>Actas de admisión o devolución en trámites sucesorales.</t>
  </si>
  <si>
    <t>Art. 15</t>
  </si>
  <si>
    <t>ACTAS DE ADMISIÓN O DEVOLUCIÓN EN TRTÁMITES SUCESORALES</t>
  </si>
  <si>
    <t>Se tomará como base el patrimonio líquido, y en todo caso, se aplicará lo dispuesto en el literal c) del artículo 2.</t>
  </si>
  <si>
    <t>Art. 14</t>
  </si>
  <si>
    <t>PROTOCOLIZACIÓN DEL PROCESO JUDICIAL DE SUCESIÓN</t>
  </si>
  <si>
    <t>Apertura y publicación de testamento cerrado y protocolización de lo actuado, causará los derechos establecidos para los actos sin cuantía.</t>
  </si>
  <si>
    <t>Art. 13</t>
  </si>
  <si>
    <t>TESTAMENTO CERRADO</t>
  </si>
  <si>
    <t>Literal C Art. 2</t>
  </si>
  <si>
    <t>Se tomará como base de liquidación  el patrimonio líquido.</t>
  </si>
  <si>
    <t>Art. 12</t>
  </si>
  <si>
    <t>DISOLUCIÓN Y LIQUIDACIÓN DE SOCIEDAD CONYUGAL Y UNIÓN MARITAL DE HECHO</t>
  </si>
  <si>
    <t>Celebrado por fuera del despacho notarial.</t>
  </si>
  <si>
    <t>Celebrado en la sede (Notaría), incluida extensión, otorgamiento y autorización de escritura.</t>
  </si>
  <si>
    <t>Art. 11</t>
  </si>
  <si>
    <t>MATRIMONIO CIVIL</t>
  </si>
  <si>
    <t>Se tomará como base de liquidación, el valor de los bienes objeto de la misma, el cual no podrá ser inferior del avalúo catastral.</t>
  </si>
  <si>
    <t>Art. 10</t>
  </si>
  <si>
    <t>CAPITULACIONES MATRIMONIALES</t>
  </si>
  <si>
    <t>Escritura pública del inventario solemne de bienes del menor, causará derechos calculados sobre el valor de los bienes inventariados.</t>
  </si>
  <si>
    <t>Art. 9</t>
  </si>
  <si>
    <t>INVENTARIO DE BIENES DE MENORES</t>
  </si>
  <si>
    <t>Constancia consignada en la matriz de escrituras pública por afectación a vivienda familiar, imperativo legal o acto voluntario de las partes.</t>
  </si>
  <si>
    <t>Art. 8</t>
  </si>
  <si>
    <t>CONSTANCIAS EN ESCRITURAS PÚBLICAS</t>
  </si>
  <si>
    <t>Declaración Extraproceso.</t>
  </si>
  <si>
    <t>Art. 7</t>
  </si>
  <si>
    <t>DECLARACIÓN EXTRAPROCESO</t>
  </si>
  <si>
    <t>Hechos/testimonios relacionados con el ejercicio de sus funciones, que implique el desplazamiento del Notario dentro de la cabecera del círculo.</t>
  </si>
  <si>
    <t>Hechos relacionados con el ejercicio de sus funciones ocurridos en su presencia / Actas de Comparecencia.</t>
  </si>
  <si>
    <t>Impresión de huella dactilar y su certificación en los eventos en que la ley lo exija o cuando solicite el usuario.</t>
  </si>
  <si>
    <t>Art. 6 Pr. 3</t>
  </si>
  <si>
    <t>Si el documento consta de varios folios, el valor adicional será del 10% por folio enviado.</t>
  </si>
  <si>
    <t>Tránsito o transferencia cibernético.</t>
  </si>
  <si>
    <t>Imposición de la firma digital.</t>
  </si>
  <si>
    <t>Art. 6 Pr. 2</t>
  </si>
  <si>
    <t>Reconocimiento de firma y contenido, si está conformado por más de un folio, cada hoja que forme parte del mismo, rubricada y sellada,  costará el 10%  adicional de la tarifa establecida para la autenticación de la firma.</t>
  </si>
  <si>
    <t>Art. 6 Pr. 1</t>
  </si>
  <si>
    <t>Identificación personal del usuario mediante verificación de huella dactilar, por medios electrónicos y cotejo con la base de datos de la Registraduría.</t>
  </si>
  <si>
    <t>Testimonio escrito, en la presentación personal y el reconocimiento de documento privado, autenticidad de firmas puestas en documentos previa confrontación de su correspondencia, autenticidad de firmas y huellas dactilares puestas en su presencia, autenticidad de fotografías de personas.</t>
  </si>
  <si>
    <t>Art. 6</t>
  </si>
  <si>
    <t>TESTIMONIO NOTARIAL</t>
  </si>
  <si>
    <t>Si el usuario requiere impresión de certificados tomados de páginas web de diferentes entidades estatales, tal impresión causará derechos.</t>
  </si>
  <si>
    <t>Art. 5 Pr.</t>
  </si>
  <si>
    <t>Por cada cara de una copia simple física expedida por notarios de documentos que reposan en el protocolo, se expedirán en papel común y no podrán contar con ningún sello, firma ni rúbrica adicional a aquellos que se encuentran plasmados en el documento reproducido.</t>
  </si>
  <si>
    <t>Copias auténticas que según la Ley debe expedir el Notario de los instrumentos, y demás documentos que reposen en el protocolo de la Notaría, causarán derechos por cada hoja utilizada por ambas caras.</t>
  </si>
  <si>
    <t>Art. 5</t>
  </si>
  <si>
    <t>COPIAS</t>
  </si>
  <si>
    <t>NO Genera Aporte Especial</t>
  </si>
  <si>
    <t>Genera Aporte Especial</t>
  </si>
  <si>
    <t>De los derechos notariales que se causen en los actos o contratos entre particulares o entre entidades no exentas, el notario solo podrá percibir como remuneración por sus servicios hasta treinta y seis millones doscientos noventa mil ochocientos pesos.</t>
  </si>
  <si>
    <t>Por cada nota de referencia en la escritura pública afectada por nuevas declaraciones de voluntad.</t>
  </si>
  <si>
    <t>Art. 4 Lit. b)</t>
  </si>
  <si>
    <t>Por cada certificación de actos o hechos que consten en instrumentos públicos o en documentos protocolizados.</t>
  </si>
  <si>
    <t>Art. 4 Lit. a)</t>
  </si>
  <si>
    <t xml:space="preserve">Art. 40 Actos entre particulares o entre entidades no exentas y límite de la remuneración notarial. </t>
  </si>
  <si>
    <t>CERTIFICACIONES</t>
  </si>
  <si>
    <t>No Genera Aporte Especial</t>
  </si>
  <si>
    <t>De los derechos que se causen por este concepto, el notario solo podrá percibir como remuneración por sus servicios hasta cinco millones cuatrocientos cincuenta y dos mil pesos.</t>
  </si>
  <si>
    <t>Protocolización por cada documento NO esencial del acto, por decisión voluntaria de otorgante.</t>
  </si>
  <si>
    <t>Art. 3 Pr. 1</t>
  </si>
  <si>
    <t>PROTOCOLIZACIÓN</t>
  </si>
  <si>
    <t>Art. 39 Concurrencia de los particulares con entidades exentas y límite de la remuneración notarial.</t>
  </si>
  <si>
    <t>Límite de la remuneración notarial</t>
  </si>
  <si>
    <t>Valor hoja del instrumento público utilizado por ambas caras.</t>
  </si>
  <si>
    <t>Art. 2 Pr.</t>
  </si>
  <si>
    <t>APORTES ESPECIALES</t>
  </si>
  <si>
    <t>VALOR A PAGAR</t>
  </si>
  <si>
    <t>Inferior a</t>
  </si>
  <si>
    <t>Valor UVB</t>
  </si>
  <si>
    <t>Inferior a 1591,90 UVB</t>
  </si>
  <si>
    <t>Art. 2 Lit. c)</t>
  </si>
  <si>
    <t>Liquidación de herencias y sociedades conyugales</t>
  </si>
  <si>
    <t>RETENCIÓN EN LA FUENTE</t>
  </si>
  <si>
    <t>Igual o Inferior  a</t>
  </si>
  <si>
    <t>Art. 2 Lit. b)</t>
  </si>
  <si>
    <t xml:space="preserve">TOTAL </t>
  </si>
  <si>
    <t>Actos CON Cuantía</t>
  </si>
  <si>
    <t>IVA</t>
  </si>
  <si>
    <t>SUBTOTAL</t>
  </si>
  <si>
    <t>Art. 2 Lit. a)</t>
  </si>
  <si>
    <t>Concepto</t>
  </si>
  <si>
    <t>AUTORIZACIÓN DE ACTOS</t>
  </si>
  <si>
    <t>Copias</t>
  </si>
  <si>
    <t>Resolución No 00773 del 26 de enero de 2024</t>
  </si>
  <si>
    <t>Derechos Notariales</t>
  </si>
  <si>
    <t>DERECHOS NOTARIALES</t>
  </si>
  <si>
    <t>Subtotal</t>
  </si>
  <si>
    <t>Valor Unitario</t>
  </si>
  <si>
    <t>Cant</t>
  </si>
  <si>
    <t>FACTURACIÓN</t>
  </si>
  <si>
    <t>Superior a $17.432.896,90</t>
  </si>
  <si>
    <t>Superior a $234.500</t>
  </si>
  <si>
    <t>Riesgo iv</t>
  </si>
  <si>
    <t>LITERAL B. ACTO CON CUANTÍA</t>
  </si>
  <si>
    <t>LITERAL C. LIQUIDACIÓN DE HERENCIAS Y SOCIEDADES CONYUGALES</t>
  </si>
  <si>
    <t>15 SMLMV</t>
  </si>
  <si>
    <t>375.341247 UVT</t>
  </si>
  <si>
    <t>3X1000</t>
  </si>
  <si>
    <t>3.5X1000</t>
  </si>
  <si>
    <t>Superior a X</t>
  </si>
  <si>
    <t>COPIA AUTÉNTICA</t>
  </si>
  <si>
    <t>10% ADICIONAL POR CADA FOLIO ENVIADO</t>
  </si>
  <si>
    <t>PARÁGRAFO 1. EN RECONOCIMIENTO DE FIRMA Y CONTENIDO 10% ADCIONAL POR CADA HOJA RUBRICADA Y SELLADA</t>
  </si>
  <si>
    <t>TESTIMONIO QUE IMPLIQUE DESPLAZAMIENTO DENTRO DEL CÍRCULO</t>
  </si>
  <si>
    <t>ACTA DE ADMISIÓN O DEVOLUCIÓN EN TRÁMITES SUCESORALES</t>
  </si>
  <si>
    <t>LITERAL A. FUERA DE LA CABECERA DEL CÍRCULO</t>
  </si>
  <si>
    <t>LITERAL B. EN LA CABECERA DEL CÍRCULO</t>
  </si>
  <si>
    <t>LITERAL C. SUSCRIPCIÓN DE REPRESENTANTES ENTIDADES OFICIALES Y PARTICULARES CON FIRMA REGISTRADA.</t>
  </si>
  <si>
    <t>Literal b</t>
  </si>
  <si>
    <t>Literal c</t>
  </si>
  <si>
    <t xml:space="preserve"> Las fundaciones de asistencia o beneficencia pública reconocidas por el Estado, pagarán como suma máxima el valor de XXXXXXX por concepto de derechos notariales, en todos aquellos casos cuya cuantía fuere determinable. </t>
  </si>
  <si>
    <t>Concurrencia de los Particulares con Entidades Exentas</t>
  </si>
  <si>
    <t>Actos entre particulares o entre entidades no exentas</t>
  </si>
  <si>
    <t>(VALOR DE LA ENAJENACIÓN EN UVT - 20000 UVT)*1.5%</t>
  </si>
  <si>
    <t>((VALOR DE LA ENAJENACIÓN EN UVT - 50000 UVT) *3.5%) + 450 UVT</t>
  </si>
  <si>
    <t>IMPUESTO DE TIMBRE LEY 2277 DE 2022</t>
  </si>
  <si>
    <t>Impuesto a pagar</t>
  </si>
  <si>
    <t>CONSIDERACIONES</t>
  </si>
  <si>
    <t>Valor de muebles enajenados Lit b</t>
  </si>
  <si>
    <t>Valor de muebles enajenados Lit c</t>
  </si>
  <si>
    <t>Valor de inmuebles enajenados - Valor de muebles enajenados</t>
  </si>
  <si>
    <t>Art. 2 Lit. b) Resol. Tarf</t>
  </si>
  <si>
    <t>Art. 2 Lit. c) Resol. Tarf</t>
  </si>
  <si>
    <t>Cuando se cumpla lo establecido en el Decreto 2158 de 1995 y 371 de 1996. Como tarifa única sin importar la cantidad de actos</t>
  </si>
  <si>
    <t>LA ESCRITURA PÚBLICA DE CAMBIO DE NOMBRE</t>
  </si>
  <si>
    <t>LA CORRECCIÓN DE ERRORES U OMISIONES EN REGISTRO CIVIL</t>
  </si>
  <si>
    <t>LAS QUE DEBAN PRACTICARSE A SOLICITUD DEL USUARIO EN EL DOMICILIO</t>
  </si>
  <si>
    <t>LAS QUE DEBAN PRACTICARSE EN CLÍNICAS Y HOSPITALES</t>
  </si>
  <si>
    <t>LIQUIDADOR UNIFICADO. VR PRELIMINAR 2.</t>
  </si>
  <si>
    <t>IDENTIFICACIÓN BIOMÉTRICA</t>
  </si>
  <si>
    <t>COPIA SIMPLE</t>
  </si>
  <si>
    <t>PAPEL ORIGINAL</t>
  </si>
  <si>
    <t>CERTIFICADO WEB</t>
  </si>
  <si>
    <t>CERTIFICACIÓN</t>
  </si>
  <si>
    <t>NOTAS DE REFERENCIA</t>
  </si>
  <si>
    <t>ACTO SIN CUANTÍA</t>
  </si>
  <si>
    <t>AUTENTICIDAD DE FOTOGRAFÍA</t>
  </si>
  <si>
    <t>PRESENTACIÓN PERSONAL</t>
  </si>
  <si>
    <t>RECONOCIMIENTO DE DOCUMENTO PRIVADO</t>
  </si>
  <si>
    <t>AUTENTICIDAD DE FIRMAS REGISTRADAS</t>
  </si>
  <si>
    <t>AUTENTICIDAD DE FIRMA</t>
  </si>
  <si>
    <t>FIRMA DIGITAL</t>
  </si>
  <si>
    <t>TRANSFERENCIA CIBERNÉTICA</t>
  </si>
  <si>
    <t>ACTA DE COMPARECENCIA</t>
  </si>
  <si>
    <t>CONSTANCIA DE AFECTACIÓN A VIVIENDA FAMILIAR</t>
  </si>
  <si>
    <t>MATRIMONIO EN DESPACHO</t>
  </si>
  <si>
    <t>MATRIMONIO FUERA DEL DESPACHO</t>
  </si>
  <si>
    <t>SERVICIO</t>
  </si>
  <si>
    <t>TIPO_REGLA</t>
  </si>
  <si>
    <t>UMBRAL</t>
  </si>
  <si>
    <t>TARIFA_BASE</t>
  </si>
  <si>
    <t>PORCENTAJE_EXCEDENTE</t>
  </si>
  <si>
    <t>MIN</t>
  </si>
  <si>
    <t>MAX</t>
  </si>
  <si>
    <t>AÑO_DESDE</t>
  </si>
  <si>
    <t>AÑO_HASTA</t>
  </si>
  <si>
    <t>UMBRAL_MAS_EXCEDENTE</t>
  </si>
  <si>
    <t>Acto con cuantía lit B</t>
  </si>
  <si>
    <t>Acto con cuantía lit C</t>
  </si>
  <si>
    <t>TOPE_PARTICULARES</t>
  </si>
  <si>
    <t>TOPE_EXENTOS</t>
  </si>
  <si>
    <t>REQUIERE_TIPO_COMPARECIENTE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</si>
</sst>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2">
    <numFmt numFmtId="44" formatCode="_-&quot;$&quot;* #,##0.00_-;\-&quot;$&quot;* #,##0.00_-;_-&quot;$&quot;* &quot;-&quot;??_-;_-@_-"/>
    <numFmt numFmtId="43" formatCode="_-* #,##0.00_-;\-* #,##0.00_-;_-* &quot;-&quot;??_-;_-@_-"/>
    <numFmt numFmtId="164" formatCode="&quot;$&quot;\ #,##0;[Red]\-&quot;$&quot;\ #,##0"/>
    <numFmt numFmtId="165" formatCode="_-&quot;$&quot;\ * #,##0.00_-;\-&quot;$&quot;\ * #,##0.00_-;_-&quot;$&quot;\ * &quot;-&quot;??_-;_-@_-"/>
    <numFmt numFmtId="166" formatCode="_(&quot;$&quot;\ * #,##0.00_);_(&quot;$&quot;\ * \(#,##0.00\);_(&quot;$&quot;\ * &quot;-&quot;??_);_(@_)"/>
    <numFmt numFmtId="167" formatCode="[$-240A]General"/>
    <numFmt numFmtId="168" formatCode="dd/mm/yyyy;@"/>
    <numFmt numFmtId="169" formatCode="[$-C0A]d\-mmm\-yy;@"/>
    <numFmt numFmtId="170" formatCode="&quot;$&quot;\ #,##0.00"/>
    <numFmt numFmtId="171" formatCode="0.000%"/>
    <numFmt numFmtId="172" formatCode="_-* #,##0_-;\-* #,##0_-;_-* &quot;-&quot;??_-;_-@_-"/>
    <numFmt numFmtId="173" formatCode="_-&quot;$&quot;\ * #,##0_-;\-&quot;$&quot;\ * #,##0_-;_-&quot;$&quot;\ * &quot;-&quot;??_-;_-@_-"/>
    <numFmt numFmtId="174" formatCode="0.0%"/>
    <numFmt numFmtId="175" formatCode="_-* #,##0.00000_-;\-* #,##0.00000_-;_-* &quot;-&quot;??_-;_-@_-"/>
    <numFmt numFmtId="176" formatCode="[$-F800]dddd\,\ mmmm\ dd\,\ yyyy"/>
    <numFmt numFmtId="177" formatCode="mmm"/>
    <numFmt numFmtId="178" formatCode="_-[$$-2C0A]\ * #,##0.00_-;\-[$$-2C0A]\ * #,##0.00_-;_-[$$-2C0A]\ * &quot;-&quot;??_-;_-@_-"/>
    <numFmt numFmtId="179" formatCode="#,##0.0"/>
    <numFmt numFmtId="180" formatCode="_-* #,##0.00\ _€_-;\-* #,##0.00\ _€_-;_-* &quot;-&quot;??\ _€_-;_-@_-"/>
    <numFmt numFmtId="181" formatCode="_-* #,##0\ _€_-;\-* #,##0\ _€_-;_-* &quot;-&quot;??\ _€_-;_-@_-"/>
    <numFmt numFmtId="182" formatCode="_-[$$-2C0A]\ * #,##0_-;\-[$$-2C0A]\ * #,##0_-;_-[$$-2C0A]\ * &quot;-&quot;??_-;_-@_-"/>
    <numFmt numFmtId="183" formatCode="0.00000%"/>
  </numFmts>
  <fonts count="46">
    <font>
      <sz val="11"/>
      <color theme="1"/>
      <name val="Calibri"/>
      <family val="2"/>
      <scheme val="minor"/>
    </font>
    <font>
      <sz val="11"/>
      <color rgb="FF000000"/>
      <name val="Calibri"/>
      <family val="2"/>
    </font>
    <font>
      <b/>
      <sz val="12"/>
      <color rgb="FF000000"/>
      <name val="Arial Narrow"/>
      <family val="2"/>
    </font>
    <font>
      <sz val="12"/>
      <color rgb="FF000000"/>
      <name val="Arial Narrow"/>
      <family val="2"/>
    </font>
    <font>
      <b/>
      <i/>
      <sz val="12"/>
      <color rgb="FF000000"/>
      <name val="Arial Narrow"/>
      <family val="2"/>
    </font>
    <font>
      <sz val="12"/>
      <color theme="1"/>
      <name val="Arial Narrow"/>
      <family val="2"/>
    </font>
    <font>
      <b/>
      <sz val="12"/>
      <color theme="1"/>
      <name val="Arial Narrow"/>
      <family val="2"/>
    </font>
    <font>
      <sz val="11"/>
      <color theme="1"/>
      <name val="Calibri"/>
      <family val="2"/>
      <scheme val="minor"/>
    </font>
    <font>
      <sz val="12"/>
      <name val="Arial Narrow"/>
      <family val="2"/>
    </font>
    <font>
      <b/>
      <sz val="12"/>
      <name val="Arial Narrow"/>
      <family val="2"/>
    </font>
    <font>
      <b/>
      <i/>
      <sz val="12"/>
      <name val="Arial Narrow"/>
      <family val="2"/>
    </font>
    <font>
      <b/>
      <sz val="11"/>
      <color theme="1"/>
      <name val="Calibri"/>
      <family val="2"/>
      <scheme val="minor"/>
    </font>
    <font>
      <sz val="8"/>
      <name val="Calibri"/>
      <family val="2"/>
      <scheme val="minor"/>
    </font>
    <font>
      <sz val="11"/>
      <color theme="1"/>
      <name val="Arial Narrow"/>
      <family val="2"/>
    </font>
    <font>
      <sz val="11"/>
      <color rgb="FFFF0000"/>
      <name val="Arial Narrow"/>
      <family val="2"/>
    </font>
    <font>
      <b/>
      <sz val="11"/>
      <color theme="1"/>
      <name val="Arial Narrow"/>
      <family val="2"/>
    </font>
    <font>
      <b/>
      <sz val="10"/>
      <color rgb="FF000000"/>
      <name val="Century Gothic"/>
      <family val="2"/>
    </font>
    <font>
      <sz val="10"/>
      <color theme="1"/>
      <name val="Century Gothic"/>
      <family val="2"/>
    </font>
    <font>
      <b/>
      <sz val="11"/>
      <color rgb="FF454545"/>
      <name val="Calibri"/>
      <family val="2"/>
      <scheme val="minor"/>
    </font>
    <font>
      <sz val="11"/>
      <color rgb="FF454545"/>
      <name val="Calibri"/>
      <family val="2"/>
      <scheme val="minor"/>
    </font>
    <font>
      <sz val="11"/>
      <color theme="1"/>
      <name val="Century Gothic"/>
      <family val="2"/>
    </font>
    <font>
      <b/>
      <sz val="8"/>
      <color rgb="FFE8E8E8"/>
      <name val="Arial"/>
      <family val="2"/>
    </font>
    <font>
      <i/>
      <sz val="12"/>
      <color rgb="FF000000"/>
      <name val="Arial Narrow"/>
      <family val="2"/>
    </font>
    <font>
      <sz val="12"/>
      <color theme="1"/>
      <name val="Arial MT"/>
    </font>
    <font>
      <sz val="9"/>
      <color theme="1"/>
      <name val="Arial"/>
      <family val="2"/>
    </font>
    <font>
      <sz val="9"/>
      <color rgb="FF000000"/>
      <name val="Arial"/>
      <family val="2"/>
    </font>
    <font>
      <sz val="10"/>
      <color theme="1"/>
      <name val="Arial"/>
      <family val="2"/>
    </font>
    <font>
      <sz val="11"/>
      <color theme="1"/>
      <name val="Arial Narrow"/>
      <family val="2"/>
    </font>
    <font>
      <b/>
      <sz val="12"/>
      <color theme="0"/>
      <name val="Arial Narrow"/>
      <family val="2"/>
    </font>
    <font>
      <sz val="10"/>
      <color rgb="FF000000"/>
      <name val="Arial Narrow"/>
      <family val="2"/>
    </font>
    <font>
      <sz val="11"/>
      <name val="Century Gothic"/>
      <family val="2"/>
    </font>
    <font>
      <b/>
      <sz val="11"/>
      <color theme="1"/>
      <name val="Century Gothic"/>
      <family val="2"/>
    </font>
    <font>
      <sz val="9"/>
      <color theme="1"/>
      <name val="Century Gothic"/>
      <family val="2"/>
    </font>
    <font>
      <b/>
      <sz val="11"/>
      <color theme="0"/>
      <name val="Century Gothic"/>
      <family val="2"/>
    </font>
    <font>
      <sz val="8"/>
      <color theme="1"/>
      <name val="Century Gothic"/>
      <family val="2"/>
    </font>
    <font>
      <sz val="11"/>
      <color theme="0"/>
      <name val="Century Gothic"/>
      <family val="2"/>
    </font>
    <font>
      <b/>
      <sz val="11"/>
      <name val="Century Gothic"/>
      <family val="2"/>
    </font>
    <font>
      <b/>
      <sz val="9"/>
      <color theme="0"/>
      <name val="Century Gothic"/>
      <family val="2"/>
    </font>
    <font>
      <sz val="12"/>
      <color theme="0"/>
      <name val="Arial Narrow"/>
      <family val="2"/>
    </font>
    <font>
      <sz val="9"/>
      <color theme="1"/>
      <name val="Calibri"/>
      <family val="2"/>
      <scheme val="minor"/>
    </font>
    <font>
      <b/>
      <sz val="9"/>
      <color theme="1"/>
      <name val="Calibri"/>
      <family val="2"/>
      <scheme val="minor"/>
    </font>
    <font>
      <b/>
      <sz val="8"/>
      <color theme="1"/>
      <name val="Calibri"/>
      <family val="2"/>
      <scheme val="minor"/>
    </font>
    <font>
      <b/>
      <i/>
      <sz val="8"/>
      <color rgb="FF000000"/>
      <name val="Arial"/>
      <family val="2"/>
    </font>
    <font>
      <b/>
      <sz val="11"/>
      <color theme="0"/>
      <name val="Calibri"/>
      <family val="2"/>
      <scheme val="minor"/>
    </font>
    <font>
      <sz val="12"/>
      <color rgb="FF00B050"/>
      <name val="Arial Narrow"/>
      <family val="2"/>
    </font>
    <font>
      <sz val="8"/>
      <color rgb="FF000000"/>
      <name val="Segoe UI"/>
      <family val="2"/>
    </font>
  </fonts>
  <fills count="13">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00B0F0"/>
        <bgColor indexed="64"/>
      </patternFill>
    </fill>
    <fill>
      <patternFill patternType="solid">
        <fgColor rgb="FFFFC000"/>
        <bgColor indexed="64"/>
      </patternFill>
    </fill>
    <fill>
      <patternFill patternType="solid">
        <fgColor rgb="FF0070C0"/>
        <bgColor indexed="64"/>
      </patternFill>
    </fill>
    <fill>
      <patternFill patternType="solid">
        <fgColor rgb="FF00B050"/>
        <bgColor indexed="64"/>
      </patternFill>
    </fill>
    <fill>
      <patternFill patternType="solid">
        <fgColor rgb="FF002060"/>
        <bgColor indexed="64"/>
      </patternFill>
    </fill>
    <fill>
      <patternFill patternType="solid">
        <fgColor rgb="FFFF0000"/>
        <bgColor indexed="64"/>
      </patternFill>
    </fill>
    <fill>
      <patternFill patternType="solid">
        <fgColor theme="4" tint="-0.249977111117893"/>
        <bgColor indexed="64"/>
      </patternFill>
    </fill>
    <fill>
      <patternFill patternType="solid">
        <fgColor theme="4" tint="0.39997558519241921"/>
        <bgColor indexed="64"/>
      </patternFill>
    </fill>
    <fill>
      <patternFill patternType="solid">
        <fgColor theme="5" tint="-0.249977111117893"/>
        <bgColor indexed="64"/>
      </patternFill>
    </fill>
  </fills>
  <borders count="72">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right/>
      <top/>
      <bottom style="thin">
        <color indexed="64"/>
      </bottom>
      <diagonal/>
    </border>
    <border>
      <left/>
      <right style="thin">
        <color indexed="64"/>
      </right>
      <top style="thin">
        <color indexed="64"/>
      </top>
      <bottom style="thin">
        <color indexed="64"/>
      </bottom>
      <diagonal/>
    </border>
    <border>
      <left/>
      <right style="medium">
        <color rgb="FF000000"/>
      </right>
      <top/>
      <bottom style="medium">
        <color rgb="FF000000"/>
      </bottom>
      <diagonal/>
    </border>
    <border>
      <left/>
      <right style="medium">
        <color rgb="FF000000"/>
      </right>
      <top/>
      <bottom/>
      <diagonal/>
    </border>
    <border>
      <left/>
      <right/>
      <top/>
      <bottom style="medium">
        <color rgb="FF000000"/>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rgb="FFABABAB"/>
      </left>
      <right style="medium">
        <color rgb="FFABABAB"/>
      </right>
      <top style="medium">
        <color rgb="FFABABAB"/>
      </top>
      <bottom style="medium">
        <color rgb="FFABABAB"/>
      </bottom>
      <diagonal/>
    </border>
    <border>
      <left style="thin">
        <color indexed="64"/>
      </left>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thin">
        <color indexed="64"/>
      </right>
      <top/>
      <bottom style="thin">
        <color indexed="64"/>
      </bottom>
      <diagonal/>
    </border>
    <border>
      <left/>
      <right style="thin">
        <color rgb="FF000000"/>
      </right>
      <top style="thin">
        <color rgb="FF000000"/>
      </top>
      <bottom/>
      <diagonal/>
    </border>
    <border>
      <left style="thin">
        <color rgb="FF000000"/>
      </left>
      <right/>
      <top style="thin">
        <color rgb="FF000000"/>
      </top>
      <bottom/>
      <diagonal/>
    </border>
    <border>
      <left style="medium">
        <color indexed="64"/>
      </left>
      <right/>
      <top/>
      <bottom/>
      <diagonal/>
    </border>
    <border>
      <left style="medium">
        <color indexed="64"/>
      </left>
      <right style="thin">
        <color indexed="64"/>
      </right>
      <top style="thin">
        <color indexed="64"/>
      </top>
      <bottom/>
      <diagonal/>
    </border>
    <border>
      <left style="thin">
        <color indexed="64"/>
      </left>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thin">
        <color rgb="FFABABAB"/>
      </left>
      <right style="thin">
        <color rgb="FFABABAB"/>
      </right>
      <top style="thin">
        <color rgb="FFABABAB"/>
      </top>
      <bottom style="thin">
        <color rgb="FFABABAB"/>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style="thin">
        <color indexed="64"/>
      </left>
      <right style="medium">
        <color indexed="64"/>
      </right>
      <top style="thin">
        <color indexed="64"/>
      </top>
      <bottom/>
      <diagonal/>
    </border>
    <border>
      <left style="thin">
        <color indexed="64"/>
      </left>
      <right style="thin">
        <color indexed="64"/>
      </right>
      <top/>
      <bottom/>
      <diagonal/>
    </border>
    <border>
      <left/>
      <right/>
      <top style="thin">
        <color indexed="64"/>
      </top>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right style="thin">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
      <left/>
      <right style="medium">
        <color indexed="64"/>
      </right>
      <top style="thin">
        <color indexed="64"/>
      </top>
      <bottom/>
      <diagonal/>
    </border>
    <border>
      <left style="medium">
        <color indexed="64"/>
      </left>
      <right style="medium">
        <color indexed="64"/>
      </right>
      <top/>
      <bottom/>
      <diagonal/>
    </border>
    <border>
      <left style="thin">
        <color indexed="64"/>
      </left>
      <right/>
      <top style="thin">
        <color indexed="64"/>
      </top>
      <bottom/>
      <diagonal/>
    </border>
    <border>
      <left style="thin">
        <color indexed="64"/>
      </left>
      <right style="medium">
        <color indexed="64"/>
      </right>
      <top/>
      <bottom style="thin">
        <color indexed="64"/>
      </bottom>
      <diagonal/>
    </border>
    <border>
      <left style="thin">
        <color indexed="64"/>
      </left>
      <right style="medium">
        <color indexed="64"/>
      </right>
      <top style="medium">
        <color indexed="64"/>
      </top>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bottom/>
      <diagonal/>
    </border>
    <border>
      <left style="thin">
        <color indexed="64"/>
      </left>
      <right/>
      <top style="medium">
        <color indexed="64"/>
      </top>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s>
  <cellStyleXfs count="7">
    <xf numFmtId="0" fontId="0" fillId="0" borderId="0"/>
    <xf numFmtId="167" fontId="1" fillId="0" borderId="0"/>
    <xf numFmtId="166" fontId="7" fillId="0" borderId="0" applyFont="0" applyFill="0" applyBorder="0" applyAlignment="0" applyProtection="0"/>
    <xf numFmtId="43" fontId="7" fillId="0" borderId="0" applyFont="0" applyFill="0" applyBorder="0" applyAlignment="0" applyProtection="0"/>
    <xf numFmtId="180" fontId="7" fillId="0" borderId="0" applyFont="0" applyFill="0" applyBorder="0" applyAlignment="0" applyProtection="0"/>
    <xf numFmtId="9" fontId="7" fillId="0" borderId="0" applyFont="0" applyFill="0" applyBorder="0" applyAlignment="0" applyProtection="0"/>
    <xf numFmtId="165" fontId="7" fillId="0" borderId="0" applyFont="0" applyFill="0" applyBorder="0" applyAlignment="0" applyProtection="0"/>
  </cellStyleXfs>
  <cellXfs count="763">
    <xf numFmtId="0" fontId="0" fillId="0" borderId="0" xfId="0"/>
    <xf numFmtId="0" fontId="5" fillId="0" borderId="0" xfId="0" applyFont="1"/>
    <xf numFmtId="0" fontId="5" fillId="0" borderId="0" xfId="0" applyFont="1" applyAlignment="1">
      <alignment horizontal="center"/>
    </xf>
    <xf numFmtId="0" fontId="5" fillId="0" borderId="1" xfId="0" applyFont="1" applyBorder="1"/>
    <xf numFmtId="0" fontId="5" fillId="0" borderId="1" xfId="0" applyFont="1" applyBorder="1" applyAlignment="1">
      <alignment horizontal="center"/>
    </xf>
    <xf numFmtId="14" fontId="5" fillId="0" borderId="1" xfId="0" applyNumberFormat="1" applyFont="1" applyBorder="1" applyAlignment="1">
      <alignment horizontal="center"/>
    </xf>
    <xf numFmtId="14" fontId="5" fillId="0" borderId="0" xfId="0" applyNumberFormat="1" applyFont="1" applyAlignment="1">
      <alignment horizontal="center"/>
    </xf>
    <xf numFmtId="0" fontId="6" fillId="0" borderId="0" xfId="0" applyFont="1"/>
    <xf numFmtId="0" fontId="6" fillId="0" borderId="1" xfId="0" applyFont="1" applyBorder="1" applyAlignment="1">
      <alignment horizontal="center" vertical="center" wrapText="1"/>
    </xf>
    <xf numFmtId="0" fontId="6" fillId="0" borderId="1" xfId="0" applyFont="1" applyBorder="1"/>
    <xf numFmtId="0" fontId="8" fillId="0" borderId="0" xfId="0" applyFont="1"/>
    <xf numFmtId="0" fontId="0" fillId="0" borderId="0" xfId="0" applyAlignment="1">
      <alignment horizontal="center"/>
    </xf>
    <xf numFmtId="14" fontId="0" fillId="0" borderId="1" xfId="0" applyNumberFormat="1" applyBorder="1" applyAlignment="1">
      <alignment horizontal="center"/>
    </xf>
    <xf numFmtId="14" fontId="5" fillId="0" borderId="1" xfId="0" applyNumberFormat="1" applyFont="1" applyBorder="1" applyAlignment="1">
      <alignment horizontal="center" vertical="center"/>
    </xf>
    <xf numFmtId="166" fontId="0" fillId="0" borderId="0" xfId="2" applyFont="1"/>
    <xf numFmtId="166" fontId="5" fillId="0" borderId="0" xfId="2" applyFont="1"/>
    <xf numFmtId="166" fontId="8" fillId="0" borderId="0" xfId="2" applyFont="1"/>
    <xf numFmtId="14" fontId="5" fillId="2" borderId="1" xfId="0" applyNumberFormat="1" applyFont="1" applyFill="1" applyBorder="1" applyAlignment="1">
      <alignment horizontal="center"/>
    </xf>
    <xf numFmtId="0" fontId="8" fillId="0" borderId="0" xfId="0" applyFont="1" applyAlignment="1">
      <alignment horizontal="center"/>
    </xf>
    <xf numFmtId="0" fontId="13" fillId="2" borderId="0" xfId="0" applyFont="1" applyFill="1"/>
    <xf numFmtId="14" fontId="13" fillId="2" borderId="1" xfId="0" applyNumberFormat="1" applyFont="1" applyFill="1" applyBorder="1" applyAlignment="1">
      <alignment horizontal="center" vertical="center"/>
    </xf>
    <xf numFmtId="0" fontId="13" fillId="2" borderId="1" xfId="0" applyFont="1" applyFill="1" applyBorder="1" applyAlignment="1">
      <alignment horizontal="center" vertical="center"/>
    </xf>
    <xf numFmtId="0" fontId="15" fillId="2" borderId="1" xfId="0" applyFont="1" applyFill="1" applyBorder="1" applyAlignment="1">
      <alignment horizontal="center" vertical="center"/>
    </xf>
    <xf numFmtId="0" fontId="14" fillId="2" borderId="3" xfId="0" applyFont="1" applyFill="1" applyBorder="1" applyAlignment="1">
      <alignment horizontal="center" vertical="center"/>
    </xf>
    <xf numFmtId="0" fontId="13" fillId="2" borderId="0" xfId="0" applyFont="1" applyFill="1" applyAlignment="1">
      <alignment horizontal="center" vertical="center"/>
    </xf>
    <xf numFmtId="0" fontId="14" fillId="2" borderId="0" xfId="0" applyFont="1" applyFill="1" applyAlignment="1">
      <alignment horizontal="center" vertical="center"/>
    </xf>
    <xf numFmtId="0" fontId="6" fillId="0" borderId="4" xfId="0" applyFont="1" applyBorder="1" applyAlignment="1">
      <alignment horizontal="center" vertical="center" wrapText="1"/>
    </xf>
    <xf numFmtId="0" fontId="8" fillId="0" borderId="0" xfId="0" applyFont="1" applyAlignment="1">
      <alignment horizontal="center" vertical="center"/>
    </xf>
    <xf numFmtId="0" fontId="5" fillId="0" borderId="0" xfId="0" applyFont="1" applyAlignment="1">
      <alignment horizontal="center" vertical="center"/>
    </xf>
    <xf numFmtId="0" fontId="0" fillId="0" borderId="1" xfId="0" applyBorder="1"/>
    <xf numFmtId="166" fontId="14" fillId="2" borderId="3" xfId="2" applyFont="1" applyFill="1" applyBorder="1" applyAlignment="1">
      <alignment horizontal="center" vertical="center"/>
    </xf>
    <xf numFmtId="166" fontId="15" fillId="2" borderId="1" xfId="2" applyFont="1" applyFill="1" applyBorder="1" applyAlignment="1">
      <alignment horizontal="center" vertical="center"/>
    </xf>
    <xf numFmtId="166" fontId="13" fillId="2" borderId="1" xfId="2" applyFont="1" applyFill="1" applyBorder="1" applyAlignment="1">
      <alignment horizontal="center" vertical="center"/>
    </xf>
    <xf numFmtId="166" fontId="13" fillId="2" borderId="0" xfId="2" applyFont="1" applyFill="1" applyAlignment="1">
      <alignment horizontal="center" vertical="center"/>
    </xf>
    <xf numFmtId="14" fontId="13" fillId="2" borderId="1" xfId="0" applyNumberFormat="1" applyFont="1" applyFill="1" applyBorder="1" applyAlignment="1">
      <alignment horizontal="center" vertical="center" wrapText="1"/>
    </xf>
    <xf numFmtId="0" fontId="0" fillId="0" borderId="1" xfId="0" applyBorder="1" applyAlignment="1">
      <alignment horizontal="center"/>
    </xf>
    <xf numFmtId="0" fontId="11" fillId="0" borderId="1" xfId="0" applyFont="1" applyBorder="1" applyAlignment="1">
      <alignment horizontal="center"/>
    </xf>
    <xf numFmtId="0" fontId="13" fillId="2" borderId="1" xfId="0" applyFont="1" applyFill="1" applyBorder="1"/>
    <xf numFmtId="170" fontId="13" fillId="2" borderId="1" xfId="0" applyNumberFormat="1" applyFont="1" applyFill="1" applyBorder="1"/>
    <xf numFmtId="0" fontId="16" fillId="0" borderId="6" xfId="0" applyFont="1" applyBorder="1" applyAlignment="1">
      <alignment horizontal="center" vertical="center" wrapText="1"/>
    </xf>
    <xf numFmtId="0" fontId="16" fillId="0" borderId="0" xfId="0" applyFont="1" applyAlignment="1">
      <alignment horizontal="center" vertical="center" wrapText="1"/>
    </xf>
    <xf numFmtId="0" fontId="16" fillId="0" borderId="11" xfId="0" applyFont="1" applyBorder="1" applyAlignment="1">
      <alignment horizontal="center" vertical="center" wrapText="1"/>
    </xf>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5" xfId="0" applyBorder="1" applyAlignment="1">
      <alignment wrapText="1"/>
    </xf>
    <xf numFmtId="0" fontId="0" fillId="0" borderId="17" xfId="0" applyBorder="1" applyAlignment="1">
      <alignment wrapText="1"/>
    </xf>
    <xf numFmtId="0" fontId="0" fillId="0" borderId="18" xfId="0" applyBorder="1"/>
    <xf numFmtId="0" fontId="0" fillId="0" borderId="19" xfId="0" applyBorder="1"/>
    <xf numFmtId="0" fontId="13" fillId="2" borderId="1" xfId="0" applyFont="1" applyFill="1" applyBorder="1" applyAlignment="1">
      <alignment horizontal="center" vertical="center" wrapText="1"/>
    </xf>
    <xf numFmtId="0" fontId="21" fillId="0" borderId="0" xfId="0" applyFont="1"/>
    <xf numFmtId="14" fontId="17" fillId="3" borderId="0" xfId="0" applyNumberFormat="1" applyFont="1" applyFill="1" applyAlignment="1">
      <alignment horizontal="center" vertical="center" wrapText="1"/>
    </xf>
    <xf numFmtId="170" fontId="13" fillId="2" borderId="0" xfId="0" applyNumberFormat="1" applyFont="1" applyFill="1"/>
    <xf numFmtId="0" fontId="13" fillId="2" borderId="0" xfId="0" applyFont="1" applyFill="1" applyAlignment="1">
      <alignment wrapText="1"/>
    </xf>
    <xf numFmtId="166" fontId="0" fillId="0" borderId="1" xfId="2" applyFont="1" applyFill="1" applyBorder="1"/>
    <xf numFmtId="166" fontId="3" fillId="0" borderId="1" xfId="2" applyFont="1" applyFill="1" applyBorder="1"/>
    <xf numFmtId="166" fontId="5" fillId="0" borderId="1" xfId="2" applyFont="1" applyFill="1" applyBorder="1"/>
    <xf numFmtId="166" fontId="5" fillId="0" borderId="0" xfId="2" applyFont="1" applyFill="1"/>
    <xf numFmtId="0" fontId="13" fillId="2" borderId="1" xfId="0" applyFont="1" applyFill="1" applyBorder="1" applyAlignment="1">
      <alignment horizontal="left" vertical="top" wrapText="1"/>
    </xf>
    <xf numFmtId="0" fontId="5" fillId="0" borderId="1" xfId="0" applyFont="1" applyBorder="1" applyAlignment="1">
      <alignment horizontal="center" vertical="center" wrapText="1"/>
    </xf>
    <xf numFmtId="0" fontId="6" fillId="0" borderId="0" xfId="0" applyFont="1" applyAlignment="1">
      <alignment horizontal="center" vertical="center" wrapText="1"/>
    </xf>
    <xf numFmtId="14" fontId="3" fillId="0" borderId="5" xfId="0" applyNumberFormat="1" applyFont="1" applyBorder="1" applyAlignment="1">
      <alignment horizontal="center" vertical="center" wrapText="1"/>
    </xf>
    <xf numFmtId="14" fontId="5" fillId="0" borderId="5" xfId="0" applyNumberFormat="1" applyFont="1" applyBorder="1" applyAlignment="1">
      <alignment horizontal="center" vertical="center" wrapText="1"/>
    </xf>
    <xf numFmtId="14" fontId="5" fillId="0" borderId="7" xfId="0" applyNumberFormat="1" applyFont="1" applyBorder="1" applyAlignment="1">
      <alignment horizontal="center" vertical="center" wrapText="1"/>
    </xf>
    <xf numFmtId="14" fontId="5" fillId="0" borderId="1" xfId="0" applyNumberFormat="1" applyFont="1" applyBorder="1" applyAlignment="1">
      <alignment horizontal="center" vertical="center" wrapText="1"/>
    </xf>
    <xf numFmtId="0" fontId="5" fillId="0" borderId="1" xfId="0" applyFont="1" applyBorder="1" applyAlignment="1">
      <alignment horizontal="justify" vertical="center" wrapText="1"/>
    </xf>
    <xf numFmtId="14" fontId="3" fillId="0" borderId="1" xfId="0" applyNumberFormat="1" applyFont="1" applyBorder="1" applyAlignment="1">
      <alignment horizontal="center" vertical="center" wrapText="1"/>
    </xf>
    <xf numFmtId="0" fontId="2" fillId="0" borderId="1" xfId="0" applyFont="1" applyBorder="1" applyAlignment="1">
      <alignment horizontal="center" vertical="center" wrapText="1"/>
    </xf>
    <xf numFmtId="14" fontId="0" fillId="0" borderId="1" xfId="0" applyNumberFormat="1" applyBorder="1"/>
    <xf numFmtId="170" fontId="0" fillId="0" borderId="1" xfId="0" applyNumberFormat="1" applyBorder="1"/>
    <xf numFmtId="170" fontId="0" fillId="0" borderId="0" xfId="0" applyNumberFormat="1"/>
    <xf numFmtId="0" fontId="0" fillId="0" borderId="1" xfId="0" applyBorder="1" applyAlignment="1">
      <alignment horizontal="center" vertical="center"/>
    </xf>
    <xf numFmtId="0" fontId="0" fillId="5" borderId="1" xfId="0" applyFill="1" applyBorder="1"/>
    <xf numFmtId="0" fontId="0" fillId="0" borderId="1" xfId="0" applyBorder="1" applyAlignment="1">
      <alignment horizontal="center" vertical="center" wrapText="1"/>
    </xf>
    <xf numFmtId="170" fontId="0" fillId="0" borderId="1" xfId="0" applyNumberFormat="1" applyBorder="1" applyAlignment="1">
      <alignment horizontal="center" vertical="center"/>
    </xf>
    <xf numFmtId="170" fontId="0" fillId="0" borderId="1" xfId="0" applyNumberFormat="1" applyBorder="1" applyAlignment="1">
      <alignment horizontal="center" vertical="center" wrapText="1"/>
    </xf>
    <xf numFmtId="0" fontId="0" fillId="0" borderId="0" xfId="0" applyAlignment="1">
      <alignment horizontal="center" vertical="center"/>
    </xf>
    <xf numFmtId="170" fontId="0" fillId="0" borderId="0" xfId="0" applyNumberFormat="1" applyAlignment="1">
      <alignment horizontal="center" vertical="center"/>
    </xf>
    <xf numFmtId="166" fontId="0" fillId="0" borderId="0" xfId="2" applyFont="1" applyFill="1"/>
    <xf numFmtId="167" fontId="4" fillId="0" borderId="1" xfId="1" applyFont="1" applyBorder="1" applyAlignment="1">
      <alignment horizontal="center" vertical="center" wrapText="1"/>
    </xf>
    <xf numFmtId="167" fontId="2" fillId="0" borderId="1" xfId="1" applyFont="1" applyBorder="1" applyAlignment="1">
      <alignment horizontal="center" vertical="center" wrapText="1"/>
    </xf>
    <xf numFmtId="166" fontId="4" fillId="0" borderId="1" xfId="2" applyFont="1" applyFill="1" applyBorder="1" applyAlignment="1">
      <alignment horizontal="center" vertical="center" wrapText="1"/>
    </xf>
    <xf numFmtId="168" fontId="4" fillId="0" borderId="1" xfId="1" applyNumberFormat="1" applyFont="1" applyBorder="1" applyAlignment="1">
      <alignment horizontal="center" vertical="center" wrapText="1"/>
    </xf>
    <xf numFmtId="0" fontId="0" fillId="0" borderId="1" xfId="0" applyBorder="1" applyAlignment="1">
      <alignment horizontal="right"/>
    </xf>
    <xf numFmtId="167" fontId="2" fillId="0" borderId="0" xfId="1" applyFont="1" applyAlignment="1">
      <alignment horizontal="center" vertical="center"/>
    </xf>
    <xf numFmtId="167" fontId="3" fillId="0" borderId="0" xfId="1" applyFont="1" applyAlignment="1">
      <alignment vertical="center"/>
    </xf>
    <xf numFmtId="166" fontId="3" fillId="0" borderId="0" xfId="2" applyFont="1" applyFill="1" applyAlignment="1">
      <alignment horizontal="center" vertical="center"/>
    </xf>
    <xf numFmtId="168" fontId="3" fillId="0" borderId="0" xfId="1" applyNumberFormat="1" applyFont="1" applyAlignment="1">
      <alignment horizontal="center" vertical="center"/>
    </xf>
    <xf numFmtId="167" fontId="3" fillId="0" borderId="1" xfId="1" applyFont="1" applyBorder="1" applyAlignment="1">
      <alignment vertical="center"/>
    </xf>
    <xf numFmtId="167" fontId="3" fillId="0" borderId="1" xfId="1" applyFont="1" applyBorder="1" applyAlignment="1">
      <alignment horizontal="center" vertical="center"/>
    </xf>
    <xf numFmtId="166" fontId="3" fillId="0" borderId="1" xfId="2" applyFont="1" applyFill="1" applyBorder="1" applyAlignment="1">
      <alignment horizontal="center" vertical="center"/>
    </xf>
    <xf numFmtId="168" fontId="3" fillId="0" borderId="1" xfId="1" applyNumberFormat="1" applyFont="1" applyBorder="1" applyAlignment="1">
      <alignment horizontal="center" vertical="center"/>
    </xf>
    <xf numFmtId="0" fontId="0" fillId="0" borderId="0" xfId="0" applyAlignment="1">
      <alignment wrapText="1"/>
    </xf>
    <xf numFmtId="165" fontId="0" fillId="0" borderId="1" xfId="0" applyNumberFormat="1" applyBorder="1"/>
    <xf numFmtId="168" fontId="3" fillId="0" borderId="1" xfId="1" applyNumberFormat="1" applyFont="1" applyBorder="1" applyAlignment="1">
      <alignment horizontal="center" vertical="center" wrapText="1"/>
    </xf>
    <xf numFmtId="0" fontId="0" fillId="0" borderId="0" xfId="0" applyAlignment="1">
      <alignment vertical="center"/>
    </xf>
    <xf numFmtId="165" fontId="0" fillId="0" borderId="0" xfId="0" applyNumberFormat="1"/>
    <xf numFmtId="14" fontId="3" fillId="0" borderId="1" xfId="1" applyNumberFormat="1" applyFont="1" applyBorder="1" applyAlignment="1">
      <alignment horizontal="center" vertical="center"/>
    </xf>
    <xf numFmtId="4" fontId="0" fillId="0" borderId="0" xfId="0" applyNumberFormat="1"/>
    <xf numFmtId="170" fontId="3" fillId="0" borderId="1" xfId="1" applyNumberFormat="1" applyFont="1" applyBorder="1" applyAlignment="1">
      <alignment horizontal="center"/>
    </xf>
    <xf numFmtId="14" fontId="3" fillId="0" borderId="1" xfId="1" applyNumberFormat="1" applyFont="1" applyBorder="1" applyAlignment="1">
      <alignment horizontal="center" vertical="center" wrapText="1"/>
    </xf>
    <xf numFmtId="0" fontId="23" fillId="0" borderId="0" xfId="0" applyFont="1"/>
    <xf numFmtId="167" fontId="3" fillId="0" borderId="1" xfId="1" applyFont="1" applyBorder="1" applyAlignment="1">
      <alignment horizontal="center"/>
    </xf>
    <xf numFmtId="2" fontId="0" fillId="0" borderId="1" xfId="0" applyNumberFormat="1" applyBorder="1"/>
    <xf numFmtId="14" fontId="0" fillId="5" borderId="1" xfId="0" applyNumberFormat="1" applyFill="1" applyBorder="1"/>
    <xf numFmtId="177" fontId="0" fillId="0" borderId="0" xfId="0" applyNumberFormat="1"/>
    <xf numFmtId="14" fontId="0" fillId="0" borderId="0" xfId="0" applyNumberFormat="1" applyAlignment="1">
      <alignment vertical="center"/>
    </xf>
    <xf numFmtId="167" fontId="3" fillId="0" borderId="0" xfId="1" applyFont="1"/>
    <xf numFmtId="170" fontId="3" fillId="0" borderId="0" xfId="1" applyNumberFormat="1" applyFont="1"/>
    <xf numFmtId="166" fontId="3" fillId="0" borderId="0" xfId="2" applyFont="1" applyFill="1" applyAlignment="1">
      <alignment horizontal="right"/>
    </xf>
    <xf numFmtId="168" fontId="3" fillId="0" borderId="0" xfId="1" applyNumberFormat="1" applyFont="1" applyAlignment="1">
      <alignment horizontal="center"/>
    </xf>
    <xf numFmtId="167" fontId="2" fillId="0" borderId="0" xfId="1" applyFont="1" applyAlignment="1">
      <alignment horizontal="center"/>
    </xf>
    <xf numFmtId="167" fontId="3" fillId="0" borderId="1" xfId="1" applyFont="1" applyBorder="1"/>
    <xf numFmtId="166" fontId="3" fillId="0" borderId="1" xfId="2" applyFont="1" applyFill="1" applyBorder="1" applyAlignment="1">
      <alignment horizontal="right"/>
    </xf>
    <xf numFmtId="168" fontId="3" fillId="0" borderId="1" xfId="1" applyNumberFormat="1" applyFont="1" applyBorder="1" applyAlignment="1">
      <alignment horizontal="center"/>
    </xf>
    <xf numFmtId="170" fontId="2" fillId="0" borderId="1" xfId="1" applyNumberFormat="1" applyFont="1" applyBorder="1" applyAlignment="1">
      <alignment horizontal="center" vertical="center" wrapText="1"/>
    </xf>
    <xf numFmtId="166" fontId="22" fillId="0" borderId="1" xfId="2" applyFont="1" applyFill="1" applyBorder="1" applyAlignment="1">
      <alignment horizontal="right" vertical="center" wrapText="1"/>
    </xf>
    <xf numFmtId="168" fontId="22" fillId="0" borderId="1" xfId="1" applyNumberFormat="1" applyFont="1" applyBorder="1" applyAlignment="1">
      <alignment horizontal="center" vertical="center" wrapText="1"/>
    </xf>
    <xf numFmtId="170" fontId="5" fillId="0" borderId="0" xfId="0" applyNumberFormat="1" applyFont="1"/>
    <xf numFmtId="165" fontId="5" fillId="0" borderId="0" xfId="0" applyNumberFormat="1" applyFont="1"/>
    <xf numFmtId="166" fontId="5" fillId="0" borderId="0" xfId="2" applyFont="1" applyFill="1" applyAlignment="1">
      <alignment horizontal="right"/>
    </xf>
    <xf numFmtId="169" fontId="5" fillId="0" borderId="0" xfId="0" applyNumberFormat="1" applyFont="1"/>
    <xf numFmtId="164" fontId="5" fillId="0" borderId="0" xfId="0" applyNumberFormat="1" applyFont="1"/>
    <xf numFmtId="166" fontId="5" fillId="0" borderId="0" xfId="0" applyNumberFormat="1" applyFont="1"/>
    <xf numFmtId="4" fontId="5" fillId="0" borderId="0" xfId="0" applyNumberFormat="1" applyFont="1"/>
    <xf numFmtId="43" fontId="5" fillId="0" borderId="0" xfId="0" applyNumberFormat="1" applyFont="1"/>
    <xf numFmtId="0" fontId="0" fillId="0" borderId="30" xfId="0" applyBorder="1"/>
    <xf numFmtId="0" fontId="0" fillId="0" borderId="41" xfId="0" applyBorder="1"/>
    <xf numFmtId="0" fontId="0" fillId="0" borderId="21" xfId="0" applyBorder="1"/>
    <xf numFmtId="0" fontId="0" fillId="0" borderId="4" xfId="0" applyBorder="1"/>
    <xf numFmtId="0" fontId="0" fillId="0" borderId="1" xfId="0" applyBorder="1" applyAlignment="1">
      <alignment wrapText="1"/>
    </xf>
    <xf numFmtId="4" fontId="5" fillId="0" borderId="1" xfId="0" applyNumberFormat="1" applyFont="1" applyBorder="1"/>
    <xf numFmtId="170" fontId="5" fillId="0" borderId="1" xfId="0" applyNumberFormat="1" applyFont="1" applyBorder="1"/>
    <xf numFmtId="0" fontId="5" fillId="0" borderId="1" xfId="0" applyFont="1" applyBorder="1" applyAlignment="1">
      <alignment wrapText="1"/>
    </xf>
    <xf numFmtId="170" fontId="2" fillId="5" borderId="1" xfId="1" applyNumberFormat="1" applyFont="1" applyFill="1" applyBorder="1" applyAlignment="1">
      <alignment horizontal="center" vertical="center" wrapText="1"/>
    </xf>
    <xf numFmtId="170" fontId="3" fillId="5" borderId="1" xfId="1" applyNumberFormat="1" applyFont="1" applyFill="1" applyBorder="1" applyAlignment="1">
      <alignment horizontal="center"/>
    </xf>
    <xf numFmtId="0" fontId="13" fillId="0" borderId="1" xfId="0" applyFont="1" applyBorder="1" applyAlignment="1">
      <alignment horizontal="center" vertical="center"/>
    </xf>
    <xf numFmtId="166" fontId="13" fillId="0" borderId="1" xfId="2" applyFont="1" applyFill="1" applyBorder="1" applyAlignment="1">
      <alignment horizontal="center" vertical="center"/>
    </xf>
    <xf numFmtId="14" fontId="13" fillId="0" borderId="1" xfId="0" applyNumberFormat="1" applyFont="1" applyBorder="1" applyAlignment="1">
      <alignment horizontal="center" vertical="center"/>
    </xf>
    <xf numFmtId="0" fontId="13" fillId="0" borderId="1" xfId="0" applyFont="1" applyBorder="1" applyAlignment="1">
      <alignment horizontal="left" vertical="top" wrapText="1"/>
    </xf>
    <xf numFmtId="0" fontId="13" fillId="5" borderId="1" xfId="0" applyFont="1" applyFill="1" applyBorder="1"/>
    <xf numFmtId="0" fontId="20" fillId="5" borderId="1" xfId="0" applyFont="1" applyFill="1" applyBorder="1"/>
    <xf numFmtId="0" fontId="13" fillId="2" borderId="4" xfId="0" applyFont="1" applyFill="1" applyBorder="1"/>
    <xf numFmtId="0" fontId="13" fillId="2" borderId="1" xfId="0" applyFont="1" applyFill="1" applyBorder="1" applyAlignment="1">
      <alignment wrapText="1"/>
    </xf>
    <xf numFmtId="0" fontId="9" fillId="0" borderId="0" xfId="0" applyFont="1"/>
    <xf numFmtId="166" fontId="8" fillId="0" borderId="0" xfId="2" applyFont="1" applyFill="1"/>
    <xf numFmtId="0" fontId="10" fillId="0" borderId="2" xfId="0" applyFont="1" applyBorder="1" applyAlignment="1">
      <alignment horizontal="center" vertical="center" wrapText="1"/>
    </xf>
    <xf numFmtId="0" fontId="9" fillId="0" borderId="2" xfId="0" applyFont="1" applyBorder="1" applyAlignment="1">
      <alignment horizontal="center" vertical="center" wrapText="1"/>
    </xf>
    <xf numFmtId="166" fontId="10" fillId="0" borderId="2" xfId="2" applyFont="1" applyFill="1" applyBorder="1" applyAlignment="1">
      <alignment horizontal="center" vertical="center" wrapText="1"/>
    </xf>
    <xf numFmtId="0" fontId="8" fillId="0" borderId="1" xfId="0" applyFont="1" applyBorder="1" applyAlignment="1">
      <alignment horizontal="center" vertical="center" wrapText="1"/>
    </xf>
    <xf numFmtId="166" fontId="5" fillId="0" borderId="1" xfId="2" applyFont="1" applyFill="1" applyBorder="1" applyAlignment="1">
      <alignment horizontal="right"/>
    </xf>
    <xf numFmtId="0" fontId="8" fillId="0" borderId="4" xfId="0" applyFont="1" applyBorder="1" applyAlignment="1">
      <alignment horizontal="center"/>
    </xf>
    <xf numFmtId="0" fontId="8" fillId="0" borderId="0" xfId="0" applyFont="1" applyAlignment="1">
      <alignment horizontal="center" vertical="center" wrapText="1"/>
    </xf>
    <xf numFmtId="0" fontId="10" fillId="0" borderId="1" xfId="0" applyFont="1" applyBorder="1" applyAlignment="1">
      <alignment horizontal="center" vertical="center" wrapText="1"/>
    </xf>
    <xf numFmtId="0" fontId="9" fillId="0" borderId="1" xfId="0" applyFont="1" applyBorder="1" applyAlignment="1">
      <alignment horizontal="center" vertical="center" wrapText="1"/>
    </xf>
    <xf numFmtId="166" fontId="10" fillId="0" borderId="31" xfId="2" applyFont="1" applyFill="1" applyBorder="1" applyAlignment="1">
      <alignment horizontal="center" vertical="center" wrapText="1"/>
    </xf>
    <xf numFmtId="0" fontId="8" fillId="0" borderId="1" xfId="0" applyFont="1" applyBorder="1"/>
    <xf numFmtId="166" fontId="8" fillId="0" borderId="4" xfId="2" applyFont="1" applyFill="1" applyBorder="1" applyAlignment="1">
      <alignment horizontal="right" wrapText="1"/>
    </xf>
    <xf numFmtId="14" fontId="8" fillId="0" borderId="1" xfId="0" applyNumberFormat="1" applyFont="1" applyBorder="1" applyAlignment="1">
      <alignment horizontal="center" wrapText="1"/>
    </xf>
    <xf numFmtId="0" fontId="8" fillId="0" borderId="30" xfId="0" applyFont="1" applyBorder="1" applyAlignment="1">
      <alignment horizontal="center"/>
    </xf>
    <xf numFmtId="166" fontId="8" fillId="0" borderId="30" xfId="2" applyFont="1" applyFill="1" applyBorder="1" applyAlignment="1">
      <alignment horizontal="right"/>
    </xf>
    <xf numFmtId="14" fontId="8" fillId="0" borderId="30" xfId="0" applyNumberFormat="1" applyFont="1" applyBorder="1" applyAlignment="1">
      <alignment horizontal="center"/>
    </xf>
    <xf numFmtId="166" fontId="8" fillId="0" borderId="1" xfId="2" applyFont="1" applyFill="1" applyBorder="1" applyAlignment="1">
      <alignment horizontal="right"/>
    </xf>
    <xf numFmtId="14" fontId="8" fillId="0" borderId="1" xfId="0" applyNumberFormat="1" applyFont="1" applyBorder="1" applyAlignment="1">
      <alignment horizontal="center"/>
    </xf>
    <xf numFmtId="166" fontId="5" fillId="0" borderId="1" xfId="2" applyFont="1" applyFill="1" applyBorder="1" applyAlignment="1">
      <alignment horizontal="center" wrapText="1"/>
    </xf>
    <xf numFmtId="14" fontId="8" fillId="0" borderId="1" xfId="0" applyNumberFormat="1" applyFont="1" applyBorder="1" applyAlignment="1">
      <alignment horizontal="center" vertical="center" wrapText="1"/>
    </xf>
    <xf numFmtId="0" fontId="10" fillId="0" borderId="32" xfId="0" applyFont="1" applyBorder="1" applyAlignment="1">
      <alignment horizontal="center" vertical="center" wrapText="1"/>
    </xf>
    <xf numFmtId="166" fontId="8" fillId="0" borderId="1" xfId="2" applyFont="1" applyFill="1" applyBorder="1" applyAlignment="1">
      <alignment horizontal="center" vertical="center"/>
    </xf>
    <xf numFmtId="14" fontId="3" fillId="0" borderId="21" xfId="1" applyNumberFormat="1" applyFont="1" applyBorder="1" applyAlignment="1">
      <alignment horizontal="center"/>
    </xf>
    <xf numFmtId="0" fontId="8" fillId="0" borderId="30" xfId="0" applyFont="1" applyBorder="1"/>
    <xf numFmtId="14" fontId="8" fillId="0" borderId="30" xfId="0" applyNumberFormat="1" applyFont="1" applyBorder="1" applyAlignment="1">
      <alignment horizontal="center" wrapText="1"/>
    </xf>
    <xf numFmtId="14" fontId="5" fillId="0" borderId="1" xfId="0" applyNumberFormat="1" applyFont="1" applyBorder="1" applyAlignment="1">
      <alignment horizontal="center" wrapText="1"/>
    </xf>
    <xf numFmtId="14" fontId="5" fillId="0" borderId="30" xfId="0" applyNumberFormat="1" applyFont="1" applyBorder="1" applyAlignment="1">
      <alignment horizontal="center"/>
    </xf>
    <xf numFmtId="14" fontId="3" fillId="0" borderId="30" xfId="0" applyNumberFormat="1" applyFont="1" applyBorder="1" applyAlignment="1">
      <alignment horizontal="center" vertical="center" wrapText="1"/>
    </xf>
    <xf numFmtId="0" fontId="9" fillId="5" borderId="0" xfId="0" applyFont="1" applyFill="1"/>
    <xf numFmtId="0" fontId="9" fillId="5" borderId="1" xfId="0" applyFont="1" applyFill="1" applyBorder="1"/>
    <xf numFmtId="0" fontId="8" fillId="5" borderId="1" xfId="0" applyFont="1" applyFill="1" applyBorder="1"/>
    <xf numFmtId="0" fontId="9" fillId="0" borderId="0" xfId="0" applyFont="1" applyAlignment="1">
      <alignment horizontal="left"/>
    </xf>
    <xf numFmtId="166" fontId="10" fillId="0" borderId="1" xfId="2" applyFont="1" applyFill="1" applyBorder="1" applyAlignment="1">
      <alignment horizontal="center" vertical="center" wrapText="1"/>
    </xf>
    <xf numFmtId="166" fontId="8" fillId="0" borderId="1" xfId="2" applyFont="1" applyFill="1" applyBorder="1" applyAlignment="1">
      <alignment horizontal="center" vertical="center" wrapText="1"/>
    </xf>
    <xf numFmtId="0" fontId="13" fillId="0" borderId="0" xfId="0" applyFont="1"/>
    <xf numFmtId="166" fontId="5" fillId="0" borderId="0" xfId="2" applyFont="1" applyFill="1" applyBorder="1"/>
    <xf numFmtId="2" fontId="5" fillId="0" borderId="0" xfId="0" applyNumberFormat="1" applyFont="1"/>
    <xf numFmtId="14" fontId="5" fillId="0" borderId="9" xfId="0" applyNumberFormat="1" applyFont="1" applyBorder="1" applyAlignment="1">
      <alignment horizontal="center"/>
    </xf>
    <xf numFmtId="166" fontId="6" fillId="0" borderId="1" xfId="2" applyFont="1" applyFill="1" applyBorder="1" applyAlignment="1">
      <alignment horizontal="center" vertical="center" wrapText="1"/>
    </xf>
    <xf numFmtId="166" fontId="5" fillId="0" borderId="1" xfId="2" applyFont="1" applyFill="1" applyBorder="1" applyAlignment="1">
      <alignment horizontal="center"/>
    </xf>
    <xf numFmtId="166" fontId="5" fillId="0" borderId="1" xfId="2" applyFont="1" applyFill="1" applyBorder="1" applyAlignment="1">
      <alignment horizontal="center" vertical="center" wrapText="1"/>
    </xf>
    <xf numFmtId="14" fontId="5" fillId="0" borderId="0" xfId="0" applyNumberFormat="1" applyFont="1"/>
    <xf numFmtId="0" fontId="5" fillId="0" borderId="1" xfId="0" applyFont="1" applyBorder="1" applyAlignment="1">
      <alignment horizontal="left"/>
    </xf>
    <xf numFmtId="166" fontId="5" fillId="0" borderId="1" xfId="2" applyFont="1" applyFill="1" applyBorder="1" applyAlignment="1">
      <alignment horizontal="left"/>
    </xf>
    <xf numFmtId="0" fontId="11" fillId="0" borderId="1" xfId="0" applyFont="1" applyBorder="1" applyAlignment="1">
      <alignment horizontal="center" wrapText="1"/>
    </xf>
    <xf numFmtId="0" fontId="18" fillId="0" borderId="0" xfId="0" applyFont="1" applyAlignment="1">
      <alignment horizontal="center" vertical="center" wrapText="1"/>
    </xf>
    <xf numFmtId="0" fontId="18" fillId="0" borderId="20" xfId="0" applyFont="1" applyBorder="1" applyAlignment="1">
      <alignment horizontal="left" vertical="center" wrapText="1"/>
    </xf>
    <xf numFmtId="0" fontId="18" fillId="0" borderId="20" xfId="0" applyFont="1" applyBorder="1" applyAlignment="1">
      <alignment horizontal="center" vertical="center" wrapText="1"/>
    </xf>
    <xf numFmtId="14" fontId="0" fillId="0" borderId="1" xfId="0" applyNumberFormat="1" applyBorder="1" applyAlignment="1">
      <alignment horizontal="center" wrapText="1"/>
    </xf>
    <xf numFmtId="0" fontId="19" fillId="0" borderId="0" xfId="0" applyFont="1" applyAlignment="1">
      <alignment horizontal="center" vertical="center" wrapText="1"/>
    </xf>
    <xf numFmtId="0" fontId="19" fillId="0" borderId="20" xfId="0" applyFont="1" applyBorder="1" applyAlignment="1">
      <alignment horizontal="left" vertical="center" wrapText="1"/>
    </xf>
    <xf numFmtId="0" fontId="19" fillId="0" borderId="40" xfId="0" applyFont="1" applyBorder="1" applyAlignment="1">
      <alignment horizontal="left" vertical="center" wrapText="1"/>
    </xf>
    <xf numFmtId="14" fontId="0" fillId="0" borderId="1" xfId="0" applyNumberFormat="1" applyBorder="1" applyAlignment="1">
      <alignment horizontal="center" vertical="center" wrapText="1"/>
    </xf>
    <xf numFmtId="176" fontId="0" fillId="0" borderId="1" xfId="0" applyNumberFormat="1" applyBorder="1" applyAlignment="1">
      <alignment horizontal="center" wrapText="1"/>
    </xf>
    <xf numFmtId="176" fontId="0" fillId="0" borderId="1" xfId="0" applyNumberFormat="1" applyBorder="1" applyAlignment="1">
      <alignment horizontal="center" vertical="center" wrapText="1"/>
    </xf>
    <xf numFmtId="0" fontId="5" fillId="0" borderId="0" xfId="0" applyFont="1" applyAlignment="1">
      <alignment horizontal="center" vertical="center" wrapText="1"/>
    </xf>
    <xf numFmtId="0" fontId="5" fillId="0" borderId="0" xfId="0" applyFont="1" applyAlignment="1">
      <alignment horizontal="left" vertical="top"/>
    </xf>
    <xf numFmtId="0" fontId="2" fillId="0" borderId="0" xfId="0" applyFont="1" applyAlignment="1">
      <alignment horizontal="center" vertical="center" wrapText="1"/>
    </xf>
    <xf numFmtId="166" fontId="6" fillId="0" borderId="0" xfId="2" applyFont="1" applyFill="1" applyBorder="1" applyAlignment="1">
      <alignment horizontal="center" vertical="center" wrapText="1"/>
    </xf>
    <xf numFmtId="0" fontId="5" fillId="0" borderId="1" xfId="0" applyFont="1" applyBorder="1" applyAlignment="1">
      <alignment horizontal="center" wrapText="1"/>
    </xf>
    <xf numFmtId="168" fontId="3" fillId="0" borderId="1" xfId="1" applyNumberFormat="1" applyFont="1" applyBorder="1" applyAlignment="1">
      <alignment horizontal="center" wrapText="1"/>
    </xf>
    <xf numFmtId="166" fontId="5" fillId="0" borderId="1" xfId="2" applyFont="1" applyFill="1" applyBorder="1" applyAlignment="1">
      <alignment vertical="top"/>
    </xf>
    <xf numFmtId="0" fontId="5" fillId="0" borderId="30" xfId="0" applyFont="1" applyBorder="1"/>
    <xf numFmtId="167" fontId="3" fillId="0" borderId="30" xfId="1" applyFont="1" applyBorder="1" applyAlignment="1">
      <alignment horizontal="center"/>
    </xf>
    <xf numFmtId="166" fontId="5" fillId="0" borderId="30" xfId="2" applyFont="1" applyFill="1" applyBorder="1"/>
    <xf numFmtId="0" fontId="5" fillId="0" borderId="30" xfId="0" applyFont="1" applyBorder="1" applyAlignment="1">
      <alignment horizontal="center"/>
    </xf>
    <xf numFmtId="0" fontId="5" fillId="0" borderId="30" xfId="0" applyFont="1" applyBorder="1" applyAlignment="1">
      <alignment horizontal="center" wrapText="1"/>
    </xf>
    <xf numFmtId="0" fontId="6" fillId="0" borderId="1" xfId="0" applyFont="1" applyBorder="1" applyAlignment="1">
      <alignment horizontal="center" vertical="center"/>
    </xf>
    <xf numFmtId="10" fontId="6" fillId="0" borderId="1" xfId="0" applyNumberFormat="1" applyFont="1" applyBorder="1" applyAlignment="1">
      <alignment horizontal="center" vertical="center"/>
    </xf>
    <xf numFmtId="165" fontId="5" fillId="0" borderId="1" xfId="0" applyNumberFormat="1" applyFont="1" applyBorder="1"/>
    <xf numFmtId="166" fontId="22" fillId="0" borderId="0" xfId="2" applyFont="1" applyAlignment="1">
      <alignment horizontal="center" vertical="center" wrapText="1"/>
    </xf>
    <xf numFmtId="166" fontId="22" fillId="0" borderId="0" xfId="2" applyFont="1" applyAlignment="1">
      <alignment horizontal="center" vertical="center"/>
    </xf>
    <xf numFmtId="166" fontId="3" fillId="0" borderId="0" xfId="2" applyFont="1" applyAlignment="1">
      <alignment horizontal="center"/>
    </xf>
    <xf numFmtId="43" fontId="0" fillId="0" borderId="0" xfId="0" applyNumberFormat="1"/>
    <xf numFmtId="14" fontId="24" fillId="0" borderId="1" xfId="0" applyNumberFormat="1" applyFont="1" applyBorder="1" applyAlignment="1">
      <alignment horizontal="center" vertical="center" wrapText="1"/>
    </xf>
    <xf numFmtId="0" fontId="24" fillId="0" borderId="21" xfId="0" applyFont="1" applyBorder="1" applyAlignment="1">
      <alignment horizontal="center" wrapText="1"/>
    </xf>
    <xf numFmtId="181" fontId="24" fillId="0" borderId="1" xfId="4" applyNumberFormat="1" applyFont="1" applyFill="1" applyBorder="1" applyAlignment="1">
      <alignment horizontal="left" vertical="center" wrapText="1"/>
    </xf>
    <xf numFmtId="181" fontId="24" fillId="0" borderId="1" xfId="4" applyNumberFormat="1" applyFont="1" applyFill="1" applyBorder="1" applyAlignment="1">
      <alignment horizontal="center" vertical="center" wrapText="1"/>
    </xf>
    <xf numFmtId="181" fontId="24" fillId="0" borderId="1" xfId="4" applyNumberFormat="1" applyFont="1" applyFill="1" applyBorder="1" applyAlignment="1">
      <alignment horizontal="center" wrapText="1"/>
    </xf>
    <xf numFmtId="14" fontId="24" fillId="0" borderId="1" xfId="0" applyNumberFormat="1" applyFont="1" applyBorder="1" applyAlignment="1">
      <alignment horizontal="center"/>
    </xf>
    <xf numFmtId="0" fontId="25" fillId="0" borderId="21" xfId="0" applyFont="1" applyBorder="1" applyAlignment="1">
      <alignment horizontal="center" vertical="center" wrapText="1"/>
    </xf>
    <xf numFmtId="14" fontId="26" fillId="0" borderId="41" xfId="0" applyNumberFormat="1" applyFont="1" applyBorder="1" applyAlignment="1">
      <alignment horizontal="center" wrapText="1"/>
    </xf>
    <xf numFmtId="14" fontId="27" fillId="0" borderId="1" xfId="0" applyNumberFormat="1" applyFont="1" applyBorder="1" applyAlignment="1">
      <alignment horizontal="center"/>
    </xf>
    <xf numFmtId="0" fontId="25" fillId="0" borderId="21" xfId="0" applyFont="1" applyBorder="1" applyAlignment="1">
      <alignment horizontal="center" vertical="center"/>
    </xf>
    <xf numFmtId="43" fontId="5" fillId="0" borderId="0" xfId="2" applyNumberFormat="1" applyFont="1"/>
    <xf numFmtId="166" fontId="5" fillId="0" borderId="0" xfId="2" applyFont="1" applyFill="1" applyAlignment="1">
      <alignment horizontal="center" vertical="center"/>
    </xf>
    <xf numFmtId="166" fontId="5" fillId="0" borderId="1" xfId="2" applyFont="1" applyFill="1" applyBorder="1" applyAlignment="1">
      <alignment horizontal="center" vertical="center"/>
    </xf>
    <xf numFmtId="166" fontId="5" fillId="0" borderId="1" xfId="2" applyFont="1" applyFill="1" applyBorder="1" applyAlignment="1">
      <alignment vertical="center" wrapText="1"/>
    </xf>
    <xf numFmtId="166" fontId="5" fillId="2" borderId="1" xfId="2" applyFont="1" applyFill="1" applyBorder="1" applyAlignment="1">
      <alignment vertical="center" wrapText="1"/>
    </xf>
    <xf numFmtId="0" fontId="10" fillId="0" borderId="44" xfId="0" applyFont="1" applyBorder="1" applyAlignment="1">
      <alignment horizontal="center" vertical="center" wrapText="1"/>
    </xf>
    <xf numFmtId="14" fontId="5" fillId="0" borderId="41" xfId="0" applyNumberFormat="1" applyFont="1" applyBorder="1" applyAlignment="1">
      <alignment horizontal="center" vertical="center" wrapText="1"/>
    </xf>
    <xf numFmtId="166" fontId="5" fillId="0" borderId="1" xfId="2" applyFont="1" applyFill="1" applyBorder="1" applyAlignment="1">
      <alignment horizontal="left" vertical="center" wrapText="1"/>
    </xf>
    <xf numFmtId="166" fontId="5" fillId="0" borderId="41" xfId="2" applyFont="1" applyFill="1" applyBorder="1" applyAlignment="1">
      <alignment horizontal="left" vertical="center" wrapText="1"/>
    </xf>
    <xf numFmtId="181" fontId="5" fillId="0" borderId="0" xfId="0" applyNumberFormat="1" applyFont="1"/>
    <xf numFmtId="0" fontId="13" fillId="2" borderId="4" xfId="0" applyFont="1" applyFill="1" applyBorder="1" applyAlignment="1">
      <alignment wrapText="1"/>
    </xf>
    <xf numFmtId="0" fontId="5" fillId="0" borderId="0" xfId="0" applyFont="1" applyAlignment="1">
      <alignment vertical="center"/>
    </xf>
    <xf numFmtId="14" fontId="5" fillId="0" borderId="0" xfId="0" applyNumberFormat="1" applyFont="1" applyAlignment="1">
      <alignment vertical="center"/>
    </xf>
    <xf numFmtId="14" fontId="5" fillId="2" borderId="1" xfId="0" applyNumberFormat="1" applyFont="1" applyFill="1" applyBorder="1" applyAlignment="1">
      <alignment horizontal="center" vertical="center" wrapText="1"/>
    </xf>
    <xf numFmtId="14" fontId="5" fillId="0" borderId="1" xfId="4" applyNumberFormat="1" applyFont="1" applyFill="1" applyBorder="1" applyAlignment="1">
      <alignment horizontal="center" wrapText="1"/>
    </xf>
    <xf numFmtId="173" fontId="8" fillId="2" borderId="1" xfId="2" applyNumberFormat="1" applyFont="1" applyFill="1" applyBorder="1" applyAlignment="1" applyProtection="1">
      <alignment horizontal="center"/>
    </xf>
    <xf numFmtId="173" fontId="5" fillId="2" borderId="1" xfId="2" applyNumberFormat="1" applyFont="1" applyFill="1" applyBorder="1" applyAlignment="1" applyProtection="1">
      <alignment horizontal="center"/>
    </xf>
    <xf numFmtId="173" fontId="5" fillId="2" borderId="1" xfId="2" applyNumberFormat="1" applyFont="1" applyFill="1" applyBorder="1" applyProtection="1"/>
    <xf numFmtId="0" fontId="5" fillId="2" borderId="0" xfId="0" applyFont="1" applyFill="1" applyProtection="1">
      <protection locked="0"/>
    </xf>
    <xf numFmtId="0" fontId="5" fillId="2" borderId="0" xfId="0" applyFont="1" applyFill="1"/>
    <xf numFmtId="0" fontId="3" fillId="2" borderId="0" xfId="0" applyFont="1" applyFill="1" applyAlignment="1" applyProtection="1">
      <alignment vertical="center"/>
      <protection locked="0"/>
    </xf>
    <xf numFmtId="9" fontId="3" fillId="2" borderId="0" xfId="0" applyNumberFormat="1" applyFont="1" applyFill="1" applyAlignment="1" applyProtection="1">
      <alignment horizontal="right" vertical="center"/>
      <protection locked="0"/>
    </xf>
    <xf numFmtId="0" fontId="3" fillId="2" borderId="0" xfId="0" applyFont="1" applyFill="1" applyAlignment="1" applyProtection="1">
      <alignment horizontal="center" vertical="center" wrapText="1"/>
      <protection locked="0"/>
    </xf>
    <xf numFmtId="0" fontId="28" fillId="4" borderId="8" xfId="0" applyFont="1" applyFill="1" applyBorder="1" applyAlignment="1" applyProtection="1">
      <alignment horizontal="center"/>
      <protection locked="0"/>
    </xf>
    <xf numFmtId="173" fontId="6" fillId="5" borderId="13" xfId="2" applyNumberFormat="1" applyFont="1" applyFill="1" applyBorder="1" applyAlignment="1" applyProtection="1">
      <alignment vertical="center" wrapText="1"/>
      <protection locked="0"/>
    </xf>
    <xf numFmtId="0" fontId="5" fillId="5" borderId="10" xfId="0" applyFont="1" applyFill="1" applyBorder="1" applyProtection="1">
      <protection locked="0"/>
    </xf>
    <xf numFmtId="0" fontId="28" fillId="4" borderId="36" xfId="0" applyFont="1" applyFill="1" applyBorder="1" applyProtection="1">
      <protection locked="0"/>
    </xf>
    <xf numFmtId="43" fontId="6" fillId="2" borderId="0" xfId="0" applyNumberFormat="1" applyFont="1" applyFill="1" applyAlignment="1" applyProtection="1">
      <alignment horizontal="center" vertical="center"/>
      <protection locked="0"/>
    </xf>
    <xf numFmtId="0" fontId="28" fillId="4" borderId="11" xfId="0" applyFont="1" applyFill="1" applyBorder="1" applyAlignment="1" applyProtection="1">
      <alignment horizontal="center"/>
      <protection locked="0"/>
    </xf>
    <xf numFmtId="173" fontId="6" fillId="5" borderId="13" xfId="2" applyNumberFormat="1" applyFont="1" applyFill="1" applyBorder="1" applyAlignment="1" applyProtection="1">
      <alignment horizontal="center" vertical="center"/>
      <protection locked="0"/>
    </xf>
    <xf numFmtId="0" fontId="6" fillId="2" borderId="14" xfId="0" applyFont="1" applyFill="1" applyBorder="1" applyAlignment="1" applyProtection="1">
      <alignment horizontal="center" vertical="center"/>
      <protection locked="0"/>
    </xf>
    <xf numFmtId="0" fontId="5" fillId="5" borderId="25" xfId="0" applyFont="1" applyFill="1" applyBorder="1" applyProtection="1">
      <protection locked="0"/>
    </xf>
    <xf numFmtId="43" fontId="5" fillId="2" borderId="0" xfId="0" applyNumberFormat="1" applyFont="1" applyFill="1" applyProtection="1">
      <protection locked="0"/>
    </xf>
    <xf numFmtId="173" fontId="5" fillId="2" borderId="0" xfId="0" applyNumberFormat="1" applyFont="1" applyFill="1" applyProtection="1">
      <protection locked="0"/>
    </xf>
    <xf numFmtId="0" fontId="6" fillId="2" borderId="33" xfId="0" applyFont="1" applyFill="1" applyBorder="1" applyAlignment="1" applyProtection="1">
      <alignment wrapText="1"/>
      <protection locked="0"/>
    </xf>
    <xf numFmtId="14" fontId="6" fillId="2" borderId="0" xfId="0" applyNumberFormat="1" applyFont="1" applyFill="1" applyAlignment="1" applyProtection="1">
      <alignment wrapText="1"/>
      <protection locked="0"/>
    </xf>
    <xf numFmtId="0" fontId="6" fillId="2" borderId="0" xfId="0" applyFont="1" applyFill="1" applyAlignment="1" applyProtection="1">
      <alignment wrapText="1"/>
      <protection locked="0"/>
    </xf>
    <xf numFmtId="166" fontId="5" fillId="2" borderId="0" xfId="2" applyFont="1" applyFill="1" applyBorder="1" applyAlignment="1" applyProtection="1">
      <alignment vertical="top" wrapText="1"/>
      <protection locked="0"/>
    </xf>
    <xf numFmtId="0" fontId="5" fillId="2" borderId="0" xfId="0" applyFont="1" applyFill="1" applyAlignment="1" applyProtection="1">
      <alignment vertical="top" wrapText="1"/>
      <protection locked="0"/>
    </xf>
    <xf numFmtId="0" fontId="5" fillId="2" borderId="37" xfId="0" applyFont="1" applyFill="1" applyBorder="1" applyAlignment="1" applyProtection="1">
      <alignment vertical="top" wrapText="1"/>
      <protection locked="0"/>
    </xf>
    <xf numFmtId="0" fontId="6" fillId="2" borderId="38" xfId="0" applyFont="1" applyFill="1" applyBorder="1" applyAlignment="1" applyProtection="1">
      <alignment wrapText="1"/>
      <protection locked="0"/>
    </xf>
    <xf numFmtId="0" fontId="6" fillId="2" borderId="22" xfId="0" applyFont="1" applyFill="1" applyBorder="1" applyAlignment="1" applyProtection="1">
      <alignment wrapText="1"/>
      <protection locked="0"/>
    </xf>
    <xf numFmtId="166" fontId="5" fillId="2" borderId="24" xfId="2" applyFont="1" applyFill="1" applyBorder="1" applyAlignment="1" applyProtection="1">
      <alignment wrapText="1"/>
      <protection locked="0"/>
    </xf>
    <xf numFmtId="0" fontId="5" fillId="2" borderId="0" xfId="0" applyFont="1" applyFill="1" applyAlignment="1" applyProtection="1">
      <alignment wrapText="1"/>
      <protection locked="0"/>
    </xf>
    <xf numFmtId="0" fontId="6" fillId="2" borderId="12" xfId="0" applyFont="1" applyFill="1" applyBorder="1" applyAlignment="1" applyProtection="1">
      <alignment vertical="center" wrapText="1"/>
      <protection locked="0"/>
    </xf>
    <xf numFmtId="0" fontId="6" fillId="2" borderId="13" xfId="0" applyFont="1" applyFill="1" applyBorder="1" applyAlignment="1" applyProtection="1">
      <alignment vertical="center" wrapText="1"/>
      <protection locked="0"/>
    </xf>
    <xf numFmtId="0" fontId="6" fillId="2" borderId="15" xfId="0" applyFont="1" applyFill="1" applyBorder="1" applyAlignment="1" applyProtection="1">
      <alignment vertical="center" wrapText="1"/>
      <protection locked="0"/>
    </xf>
    <xf numFmtId="0" fontId="5" fillId="2" borderId="1" xfId="0" applyFont="1" applyFill="1" applyBorder="1" applyAlignment="1" applyProtection="1">
      <alignment vertical="center" wrapText="1"/>
      <protection locked="0"/>
    </xf>
    <xf numFmtId="172" fontId="5" fillId="2" borderId="1" xfId="3" applyNumberFormat="1" applyFont="1" applyFill="1" applyBorder="1" applyAlignment="1" applyProtection="1">
      <alignment vertical="center" wrapText="1"/>
      <protection locked="0"/>
    </xf>
    <xf numFmtId="172" fontId="5" fillId="2" borderId="16" xfId="0" applyNumberFormat="1" applyFont="1" applyFill="1" applyBorder="1" applyAlignment="1" applyProtection="1">
      <alignment vertical="center" wrapText="1"/>
      <protection locked="0"/>
    </xf>
    <xf numFmtId="175" fontId="5" fillId="2" borderId="1" xfId="3" applyNumberFormat="1" applyFont="1" applyFill="1" applyBorder="1" applyAlignment="1" applyProtection="1">
      <alignment vertical="center" wrapText="1"/>
      <protection locked="0"/>
    </xf>
    <xf numFmtId="43" fontId="5" fillId="2" borderId="16" xfId="0" applyNumberFormat="1" applyFont="1" applyFill="1" applyBorder="1" applyAlignment="1" applyProtection="1">
      <alignment vertical="center" wrapText="1"/>
      <protection locked="0"/>
    </xf>
    <xf numFmtId="0" fontId="6" fillId="2" borderId="17" xfId="0" applyFont="1" applyFill="1" applyBorder="1" applyAlignment="1" applyProtection="1">
      <alignment vertical="center" wrapText="1"/>
      <protection locked="0"/>
    </xf>
    <xf numFmtId="0" fontId="5" fillId="2" borderId="18" xfId="0" applyFont="1" applyFill="1" applyBorder="1" applyAlignment="1" applyProtection="1">
      <alignment vertical="center" wrapText="1"/>
      <protection locked="0"/>
    </xf>
    <xf numFmtId="0" fontId="28" fillId="4" borderId="18" xfId="0" applyFont="1" applyFill="1" applyBorder="1" applyAlignment="1" applyProtection="1">
      <alignment vertical="center" wrapText="1"/>
      <protection locked="0"/>
    </xf>
    <xf numFmtId="173" fontId="6" fillId="2" borderId="19" xfId="2" applyNumberFormat="1" applyFont="1" applyFill="1" applyBorder="1" applyAlignment="1" applyProtection="1">
      <alignment vertical="center"/>
      <protection locked="0"/>
    </xf>
    <xf numFmtId="0" fontId="6" fillId="2" borderId="12" xfId="0" applyFont="1" applyFill="1" applyBorder="1" applyAlignment="1" applyProtection="1">
      <alignment horizontal="center" vertical="center"/>
      <protection locked="0"/>
    </xf>
    <xf numFmtId="0" fontId="6" fillId="2" borderId="13" xfId="0" applyFont="1" applyFill="1" applyBorder="1" applyAlignment="1" applyProtection="1">
      <alignment horizontal="center" vertical="center" wrapText="1"/>
      <protection locked="0"/>
    </xf>
    <xf numFmtId="0" fontId="6" fillId="2" borderId="15" xfId="0" applyFont="1" applyFill="1" applyBorder="1" applyAlignment="1" applyProtection="1">
      <alignment horizontal="center"/>
      <protection locked="0"/>
    </xf>
    <xf numFmtId="0" fontId="5" fillId="2" borderId="1" xfId="0" applyFont="1" applyFill="1" applyBorder="1" applyAlignment="1" applyProtection="1">
      <alignment wrapText="1"/>
      <protection locked="0"/>
    </xf>
    <xf numFmtId="172" fontId="5" fillId="2" borderId="1" xfId="3" applyNumberFormat="1" applyFont="1" applyFill="1" applyBorder="1" applyAlignment="1" applyProtection="1">
      <alignment wrapText="1"/>
      <protection locked="0"/>
    </xf>
    <xf numFmtId="0" fontId="5" fillId="2" borderId="16" xfId="0" applyFont="1" applyFill="1" applyBorder="1" applyProtection="1">
      <protection locked="0"/>
    </xf>
    <xf numFmtId="172" fontId="5" fillId="2" borderId="1" xfId="0" applyNumberFormat="1" applyFont="1" applyFill="1" applyBorder="1" applyProtection="1">
      <protection locked="0"/>
    </xf>
    <xf numFmtId="175" fontId="5" fillId="2" borderId="1" xfId="0" applyNumberFormat="1" applyFont="1" applyFill="1" applyBorder="1" applyProtection="1">
      <protection locked="0"/>
    </xf>
    <xf numFmtId="0" fontId="6" fillId="2" borderId="17" xfId="0" applyFont="1" applyFill="1" applyBorder="1" applyAlignment="1" applyProtection="1">
      <alignment horizontal="center"/>
      <protection locked="0"/>
    </xf>
    <xf numFmtId="0" fontId="5" fillId="2" borderId="18" xfId="0" applyFont="1" applyFill="1" applyBorder="1" applyAlignment="1" applyProtection="1">
      <alignment wrapText="1"/>
      <protection locked="0"/>
    </xf>
    <xf numFmtId="0" fontId="28" fillId="4" borderId="18" xfId="0" applyFont="1" applyFill="1" applyBorder="1" applyAlignment="1" applyProtection="1">
      <alignment horizontal="center" wrapText="1"/>
      <protection locked="0"/>
    </xf>
    <xf numFmtId="173" fontId="6" fillId="2" borderId="19" xfId="2" applyNumberFormat="1" applyFont="1" applyFill="1" applyBorder="1" applyAlignment="1" applyProtection="1">
      <alignment horizontal="center" vertical="center"/>
      <protection locked="0"/>
    </xf>
    <xf numFmtId="166" fontId="6" fillId="5" borderId="37" xfId="2" applyFont="1" applyFill="1" applyBorder="1" applyAlignment="1" applyProtection="1">
      <alignment wrapText="1"/>
      <protection locked="0"/>
    </xf>
    <xf numFmtId="172" fontId="28" fillId="4" borderId="41" xfId="3" applyNumberFormat="1" applyFont="1" applyFill="1" applyBorder="1" applyProtection="1"/>
    <xf numFmtId="172" fontId="28" fillId="4" borderId="43" xfId="3" applyNumberFormat="1" applyFont="1" applyFill="1" applyBorder="1" applyProtection="1"/>
    <xf numFmtId="0" fontId="5" fillId="2" borderId="1" xfId="0" applyFont="1" applyFill="1" applyBorder="1"/>
    <xf numFmtId="0" fontId="28" fillId="4" borderId="25" xfId="0" applyFont="1" applyFill="1" applyBorder="1" applyAlignment="1">
      <alignment horizontal="center" vertical="center"/>
    </xf>
    <xf numFmtId="0" fontId="28" fillId="4" borderId="26" xfId="0" applyFont="1" applyFill="1" applyBorder="1" applyAlignment="1">
      <alignment horizontal="center" vertical="center"/>
    </xf>
    <xf numFmtId="0" fontId="3" fillId="2" borderId="25" xfId="0" applyFont="1" applyFill="1" applyBorder="1" applyAlignment="1">
      <alignment vertical="center"/>
    </xf>
    <xf numFmtId="3" fontId="3" fillId="2" borderId="26" xfId="0" applyNumberFormat="1" applyFont="1" applyFill="1" applyBorder="1" applyAlignment="1">
      <alignment vertical="center"/>
    </xf>
    <xf numFmtId="9" fontId="3" fillId="2" borderId="26" xfId="0" applyNumberFormat="1" applyFont="1" applyFill="1" applyBorder="1" applyAlignment="1">
      <alignment horizontal="right" vertical="center"/>
    </xf>
    <xf numFmtId="9" fontId="3" fillId="2" borderId="26" xfId="0" applyNumberFormat="1" applyFont="1" applyFill="1" applyBorder="1" applyAlignment="1">
      <alignment horizontal="center" vertical="center" wrapText="1"/>
    </xf>
    <xf numFmtId="174" fontId="3" fillId="2" borderId="26" xfId="0" applyNumberFormat="1" applyFont="1" applyFill="1" applyBorder="1" applyAlignment="1">
      <alignment horizontal="right" vertical="center"/>
    </xf>
    <xf numFmtId="0" fontId="29" fillId="2" borderId="26" xfId="0" applyFont="1" applyFill="1" applyBorder="1" applyAlignment="1">
      <alignment horizontal="center" vertical="center" wrapText="1"/>
    </xf>
    <xf numFmtId="182" fontId="5" fillId="2" borderId="1" xfId="0" applyNumberFormat="1" applyFont="1" applyFill="1" applyBorder="1"/>
    <xf numFmtId="0" fontId="3" fillId="2" borderId="26" xfId="0" applyFont="1" applyFill="1" applyBorder="1" applyAlignment="1">
      <alignment horizontal="center" vertical="center"/>
    </xf>
    <xf numFmtId="166" fontId="5" fillId="2" borderId="35" xfId="2" applyFont="1" applyFill="1" applyBorder="1" applyAlignment="1" applyProtection="1">
      <alignment vertical="center" wrapText="1"/>
    </xf>
    <xf numFmtId="0" fontId="5" fillId="2" borderId="16" xfId="0" applyFont="1" applyFill="1" applyBorder="1" applyAlignment="1">
      <alignment vertical="center" wrapText="1"/>
    </xf>
    <xf numFmtId="167" fontId="2" fillId="2" borderId="0" xfId="1" applyFont="1" applyFill="1" applyAlignment="1">
      <alignment horizontal="center"/>
    </xf>
    <xf numFmtId="167" fontId="3" fillId="2" borderId="0" xfId="1" applyFont="1" applyFill="1"/>
    <xf numFmtId="166" fontId="3" fillId="2" borderId="0" xfId="2" applyFont="1" applyFill="1"/>
    <xf numFmtId="168" fontId="3" fillId="2" borderId="0" xfId="1" applyNumberFormat="1" applyFont="1" applyFill="1" applyAlignment="1">
      <alignment horizontal="center"/>
    </xf>
    <xf numFmtId="167" fontId="4" fillId="2" borderId="1" xfId="1" applyFont="1" applyFill="1" applyBorder="1" applyAlignment="1">
      <alignment horizontal="center" vertical="center" wrapText="1"/>
    </xf>
    <xf numFmtId="167" fontId="2" fillId="2" borderId="1" xfId="1" applyFont="1" applyFill="1" applyBorder="1" applyAlignment="1">
      <alignment horizontal="center" vertical="center" wrapText="1"/>
    </xf>
    <xf numFmtId="166" fontId="4" fillId="2" borderId="1" xfId="2" applyFont="1" applyFill="1" applyBorder="1" applyAlignment="1">
      <alignment horizontal="center" vertical="center" wrapText="1"/>
    </xf>
    <xf numFmtId="168" fontId="4" fillId="2" borderId="1" xfId="1" applyNumberFormat="1" applyFont="1" applyFill="1" applyBorder="1" applyAlignment="1">
      <alignment horizontal="center" vertical="center" wrapText="1"/>
    </xf>
    <xf numFmtId="167" fontId="2" fillId="2" borderId="1" xfId="1" applyFont="1" applyFill="1" applyBorder="1"/>
    <xf numFmtId="167" fontId="3" fillId="2" borderId="1" xfId="1" applyFont="1" applyFill="1" applyBorder="1" applyAlignment="1">
      <alignment horizontal="center"/>
    </xf>
    <xf numFmtId="166" fontId="3" fillId="2" borderId="1" xfId="2" applyFont="1" applyFill="1" applyBorder="1"/>
    <xf numFmtId="168" fontId="3" fillId="2" borderId="1" xfId="1" applyNumberFormat="1" applyFont="1" applyFill="1" applyBorder="1" applyAlignment="1">
      <alignment horizontal="center"/>
    </xf>
    <xf numFmtId="166" fontId="22" fillId="2" borderId="1" xfId="2" applyFont="1" applyFill="1" applyBorder="1" applyAlignment="1">
      <alignment horizontal="center" vertical="center" wrapText="1"/>
    </xf>
    <xf numFmtId="168" fontId="22" fillId="2" borderId="1" xfId="1" applyNumberFormat="1" applyFont="1" applyFill="1" applyBorder="1" applyAlignment="1">
      <alignment horizontal="center" vertical="center" wrapText="1"/>
    </xf>
    <xf numFmtId="0" fontId="11" fillId="2" borderId="1" xfId="0" applyFont="1" applyFill="1" applyBorder="1"/>
    <xf numFmtId="166" fontId="0" fillId="2" borderId="1" xfId="0" applyNumberFormat="1" applyFill="1" applyBorder="1"/>
    <xf numFmtId="166" fontId="0" fillId="2" borderId="1" xfId="2" applyFont="1" applyFill="1" applyBorder="1"/>
    <xf numFmtId="14" fontId="0" fillId="2" borderId="1" xfId="0" applyNumberFormat="1" applyFill="1" applyBorder="1" applyAlignment="1">
      <alignment horizontal="center"/>
    </xf>
    <xf numFmtId="166" fontId="5" fillId="2" borderId="0" xfId="2" applyFont="1" applyFill="1"/>
    <xf numFmtId="169" fontId="5" fillId="2" borderId="0" xfId="0" applyNumberFormat="1" applyFont="1" applyFill="1"/>
    <xf numFmtId="0" fontId="0" fillId="2" borderId="1" xfId="0" applyFill="1" applyBorder="1"/>
    <xf numFmtId="0" fontId="0" fillId="2" borderId="1" xfId="0" applyFill="1" applyBorder="1" applyAlignment="1">
      <alignment horizontal="center"/>
    </xf>
    <xf numFmtId="167" fontId="3" fillId="2" borderId="1" xfId="1" applyFont="1" applyFill="1" applyBorder="1" applyAlignment="1">
      <alignment horizontal="center" vertical="center" wrapText="1"/>
    </xf>
    <xf numFmtId="0" fontId="5" fillId="5" borderId="1" xfId="0" applyFont="1" applyFill="1" applyBorder="1"/>
    <xf numFmtId="0" fontId="6" fillId="5" borderId="1" xfId="0" applyFont="1" applyFill="1" applyBorder="1"/>
    <xf numFmtId="3" fontId="6" fillId="5" borderId="1" xfId="0" applyNumberFormat="1" applyFont="1" applyFill="1" applyBorder="1"/>
    <xf numFmtId="0" fontId="6" fillId="0" borderId="1" xfId="0" applyFont="1" applyBorder="1" applyAlignment="1">
      <alignment horizontal="center"/>
    </xf>
    <xf numFmtId="170" fontId="5" fillId="0" borderId="1" xfId="0" applyNumberFormat="1" applyFont="1" applyBorder="1" applyAlignment="1">
      <alignment horizontal="center"/>
    </xf>
    <xf numFmtId="179" fontId="5" fillId="0" borderId="0" xfId="0" applyNumberFormat="1" applyFont="1"/>
    <xf numFmtId="178" fontId="5" fillId="0" borderId="1" xfId="2" applyNumberFormat="1" applyFont="1" applyBorder="1" applyAlignment="1">
      <alignment horizontal="center" vertical="center"/>
    </xf>
    <xf numFmtId="0" fontId="5" fillId="0" borderId="1" xfId="0" applyFont="1" applyBorder="1" applyAlignment="1">
      <alignment horizontal="center" vertical="center"/>
    </xf>
    <xf numFmtId="0" fontId="5" fillId="0" borderId="30" xfId="0" applyFont="1" applyBorder="1" applyAlignment="1">
      <alignment horizontal="center" vertical="center"/>
    </xf>
    <xf numFmtId="0" fontId="5" fillId="5" borderId="30" xfId="0" applyFont="1" applyFill="1" applyBorder="1"/>
    <xf numFmtId="171" fontId="5" fillId="0" borderId="1" xfId="0" applyNumberFormat="1" applyFont="1" applyBorder="1"/>
    <xf numFmtId="171" fontId="5" fillId="0" borderId="0" xfId="0" applyNumberFormat="1" applyFont="1"/>
    <xf numFmtId="166" fontId="5" fillId="0" borderId="1" xfId="2" applyFont="1" applyBorder="1"/>
    <xf numFmtId="2" fontId="5" fillId="0" borderId="1" xfId="0" applyNumberFormat="1" applyFont="1" applyBorder="1" applyAlignment="1">
      <alignment horizontal="center" vertical="center"/>
    </xf>
    <xf numFmtId="14" fontId="5" fillId="5" borderId="1" xfId="0" applyNumberFormat="1" applyFont="1" applyFill="1" applyBorder="1" applyAlignment="1">
      <alignment horizontal="center" vertical="center"/>
    </xf>
    <xf numFmtId="0" fontId="30" fillId="2" borderId="46" xfId="0" applyFont="1" applyFill="1" applyBorder="1" applyAlignment="1" applyProtection="1">
      <alignment vertical="center"/>
      <protection locked="0"/>
    </xf>
    <xf numFmtId="0" fontId="31" fillId="0" borderId="14" xfId="0" applyFont="1" applyBorder="1" applyAlignment="1" applyProtection="1">
      <alignment horizontal="center" vertical="center" wrapText="1"/>
      <protection locked="0"/>
    </xf>
    <xf numFmtId="14" fontId="17" fillId="0" borderId="5" xfId="0" applyNumberFormat="1" applyFont="1" applyBorder="1" applyAlignment="1">
      <alignment horizontal="center" vertical="center" wrapText="1"/>
    </xf>
    <xf numFmtId="0" fontId="20" fillId="0" borderId="0" xfId="0" applyFont="1" applyProtection="1">
      <protection locked="0"/>
    </xf>
    <xf numFmtId="0" fontId="20" fillId="0" borderId="0" xfId="0" applyFont="1" applyAlignment="1" applyProtection="1">
      <alignment vertical="center"/>
      <protection locked="0"/>
    </xf>
    <xf numFmtId="0" fontId="31" fillId="0" borderId="0" xfId="0" applyFont="1" applyAlignment="1" applyProtection="1">
      <alignment horizontal="center" vertical="center"/>
      <protection locked="0"/>
    </xf>
    <xf numFmtId="173" fontId="20" fillId="0" borderId="24" xfId="6" applyNumberFormat="1" applyFont="1" applyBorder="1" applyAlignment="1" applyProtection="1">
      <alignment vertical="center"/>
      <protection locked="0"/>
    </xf>
    <xf numFmtId="0" fontId="31" fillId="0" borderId="22" xfId="0" applyFont="1" applyBorder="1" applyAlignment="1" applyProtection="1">
      <alignment horizontal="center" vertical="center"/>
      <protection locked="0"/>
    </xf>
    <xf numFmtId="173" fontId="20" fillId="0" borderId="0" xfId="6" applyNumberFormat="1" applyFont="1" applyAlignment="1" applyProtection="1">
      <alignment vertical="center"/>
      <protection locked="0"/>
    </xf>
    <xf numFmtId="0" fontId="31" fillId="0" borderId="0" xfId="0" applyFont="1" applyAlignment="1" applyProtection="1">
      <alignment vertical="center"/>
      <protection locked="0"/>
    </xf>
    <xf numFmtId="173" fontId="20" fillId="0" borderId="26" xfId="6" applyNumberFormat="1" applyFont="1" applyBorder="1" applyAlignment="1" applyProtection="1">
      <alignment vertical="center"/>
      <protection locked="0"/>
    </xf>
    <xf numFmtId="0" fontId="31" fillId="0" borderId="38" xfId="0" applyFont="1" applyBorder="1" applyAlignment="1" applyProtection="1">
      <alignment horizontal="center" vertical="center"/>
      <protection locked="0"/>
    </xf>
    <xf numFmtId="173" fontId="20" fillId="0" borderId="29" xfId="6" applyNumberFormat="1" applyFont="1" applyBorder="1" applyAlignment="1" applyProtection="1">
      <alignment vertical="center"/>
      <protection locked="0"/>
    </xf>
    <xf numFmtId="0" fontId="31" fillId="0" borderId="22" xfId="0" applyFont="1" applyBorder="1" applyAlignment="1" applyProtection="1">
      <alignment vertical="center"/>
      <protection locked="0"/>
    </xf>
    <xf numFmtId="0" fontId="33" fillId="6" borderId="22" xfId="0" applyFont="1" applyFill="1" applyBorder="1" applyAlignment="1" applyProtection="1">
      <alignment horizontal="center" vertical="center"/>
      <protection locked="0"/>
    </xf>
    <xf numFmtId="173" fontId="20" fillId="3" borderId="24" xfId="6" applyNumberFormat="1" applyFont="1" applyFill="1" applyBorder="1" applyAlignment="1" applyProtection="1">
      <alignment vertical="center"/>
      <protection locked="0"/>
    </xf>
    <xf numFmtId="0" fontId="20" fillId="0" borderId="24" xfId="0" applyFont="1" applyBorder="1" applyAlignment="1" applyProtection="1">
      <alignment vertical="center"/>
      <protection locked="0"/>
    </xf>
    <xf numFmtId="9" fontId="20" fillId="0" borderId="26" xfId="0" applyNumberFormat="1" applyFont="1" applyBorder="1" applyAlignment="1" applyProtection="1">
      <alignment vertical="center"/>
      <protection locked="0"/>
    </xf>
    <xf numFmtId="0" fontId="20" fillId="0" borderId="0" xfId="0" applyFont="1" applyAlignment="1" applyProtection="1">
      <alignment horizontal="center" vertical="center"/>
      <protection locked="0"/>
    </xf>
    <xf numFmtId="0" fontId="20" fillId="0" borderId="26" xfId="0" applyFont="1" applyBorder="1" applyAlignment="1" applyProtection="1">
      <alignment vertical="center"/>
      <protection locked="0"/>
    </xf>
    <xf numFmtId="0" fontId="20" fillId="0" borderId="29" xfId="0" applyFont="1" applyBorder="1" applyAlignment="1" applyProtection="1">
      <alignment vertical="center"/>
      <protection locked="0"/>
    </xf>
    <xf numFmtId="0" fontId="31" fillId="0" borderId="29" xfId="0" applyFont="1" applyBorder="1" applyAlignment="1" applyProtection="1">
      <alignment horizontal="center" vertical="center"/>
      <protection locked="0"/>
    </xf>
    <xf numFmtId="0" fontId="20" fillId="0" borderId="23" xfId="0" applyFont="1" applyBorder="1" applyAlignment="1" applyProtection="1">
      <alignment vertical="center"/>
      <protection locked="0"/>
    </xf>
    <xf numFmtId="0" fontId="20" fillId="0" borderId="22" xfId="0" applyFont="1" applyBorder="1" applyAlignment="1" applyProtection="1">
      <alignment vertical="center"/>
      <protection locked="0"/>
    </xf>
    <xf numFmtId="0" fontId="31" fillId="0" borderId="24" xfId="0" applyFont="1" applyBorder="1" applyAlignment="1" applyProtection="1">
      <alignment horizontal="center" vertical="center"/>
      <protection locked="0"/>
    </xf>
    <xf numFmtId="173" fontId="20" fillId="0" borderId="47" xfId="6" applyNumberFormat="1" applyFont="1" applyBorder="1" applyAlignment="1" applyProtection="1">
      <alignment vertical="center"/>
      <protection locked="0"/>
    </xf>
    <xf numFmtId="173" fontId="20" fillId="0" borderId="50" xfId="6" applyNumberFormat="1" applyFont="1" applyBorder="1" applyAlignment="1" applyProtection="1">
      <alignment vertical="center"/>
      <protection locked="0"/>
    </xf>
    <xf numFmtId="173" fontId="20" fillId="0" borderId="37" xfId="6" applyNumberFormat="1" applyFont="1" applyBorder="1" applyAlignment="1" applyProtection="1">
      <alignment vertical="center"/>
      <protection locked="0"/>
    </xf>
    <xf numFmtId="9" fontId="20" fillId="0" borderId="24" xfId="0" applyNumberFormat="1" applyFont="1" applyBorder="1" applyAlignment="1" applyProtection="1">
      <alignment vertical="center"/>
      <protection locked="0"/>
    </xf>
    <xf numFmtId="173" fontId="20" fillId="0" borderId="51" xfId="6" applyNumberFormat="1" applyFont="1" applyBorder="1" applyAlignment="1" applyProtection="1">
      <alignment vertical="center"/>
      <protection locked="0"/>
    </xf>
    <xf numFmtId="173" fontId="20" fillId="3" borderId="47" xfId="6" applyNumberFormat="1" applyFont="1" applyFill="1" applyBorder="1" applyAlignment="1" applyProtection="1">
      <alignment vertical="center"/>
      <protection locked="0"/>
    </xf>
    <xf numFmtId="173" fontId="20" fillId="0" borderId="0" xfId="0" applyNumberFormat="1" applyFont="1" applyProtection="1">
      <protection locked="0"/>
    </xf>
    <xf numFmtId="0" fontId="20" fillId="0" borderId="0" xfId="0" applyFont="1"/>
    <xf numFmtId="0" fontId="35" fillId="0" borderId="0" xfId="0" applyFont="1" applyProtection="1">
      <protection locked="0"/>
    </xf>
    <xf numFmtId="165" fontId="33" fillId="4" borderId="19" xfId="6" applyFont="1" applyFill="1" applyBorder="1" applyAlignment="1" applyProtection="1">
      <alignment vertical="center"/>
      <protection locked="0"/>
    </xf>
    <xf numFmtId="0" fontId="35" fillId="0" borderId="0" xfId="0" applyFont="1" applyAlignment="1" applyProtection="1">
      <alignment vertical="center" wrapText="1"/>
      <protection locked="0"/>
    </xf>
    <xf numFmtId="173" fontId="20" fillId="0" borderId="14" xfId="6" applyNumberFormat="1" applyFont="1" applyBorder="1" applyAlignment="1" applyProtection="1">
      <alignment horizontal="center" vertical="center"/>
      <protection locked="0"/>
    </xf>
    <xf numFmtId="0" fontId="31" fillId="0" borderId="23" xfId="0" applyFont="1" applyBorder="1" applyAlignment="1" applyProtection="1">
      <alignment horizontal="center"/>
      <protection locked="0"/>
    </xf>
    <xf numFmtId="0" fontId="31" fillId="0" borderId="22" xfId="0" applyFont="1" applyBorder="1" applyAlignment="1" applyProtection="1">
      <alignment horizontal="center"/>
      <protection locked="0"/>
    </xf>
    <xf numFmtId="173" fontId="33" fillId="5" borderId="24" xfId="6" applyNumberFormat="1" applyFont="1" applyFill="1" applyBorder="1" applyAlignment="1" applyProtection="1">
      <alignment vertical="center"/>
    </xf>
    <xf numFmtId="43" fontId="20" fillId="0" borderId="0" xfId="0" applyNumberFormat="1" applyFont="1" applyProtection="1">
      <protection locked="0"/>
    </xf>
    <xf numFmtId="0" fontId="31" fillId="0" borderId="45" xfId="0" applyFont="1" applyBorder="1" applyAlignment="1">
      <alignment horizontal="center" vertical="center"/>
    </xf>
    <xf numFmtId="0" fontId="36" fillId="2" borderId="56" xfId="0" applyFont="1" applyFill="1" applyBorder="1" applyAlignment="1" applyProtection="1">
      <alignment vertical="center"/>
      <protection locked="0"/>
    </xf>
    <xf numFmtId="173" fontId="36" fillId="2" borderId="58" xfId="6" applyNumberFormat="1" applyFont="1" applyFill="1" applyBorder="1" applyAlignment="1" applyProtection="1">
      <alignment vertical="center"/>
      <protection locked="0"/>
    </xf>
    <xf numFmtId="0" fontId="36" fillId="2" borderId="4" xfId="0" applyFont="1" applyFill="1" applyBorder="1" applyAlignment="1" applyProtection="1">
      <alignment horizontal="center" vertical="center"/>
      <protection locked="0"/>
    </xf>
    <xf numFmtId="173" fontId="31" fillId="0" borderId="16" xfId="6" applyNumberFormat="1" applyFont="1" applyBorder="1" applyAlignment="1" applyProtection="1">
      <alignment vertical="center"/>
    </xf>
    <xf numFmtId="173" fontId="31" fillId="0" borderId="1" xfId="0" applyNumberFormat="1" applyFont="1" applyBorder="1" applyAlignment="1">
      <alignment vertical="center"/>
    </xf>
    <xf numFmtId="0" fontId="31" fillId="0" borderId="4" xfId="0" applyFont="1" applyBorder="1" applyAlignment="1">
      <alignment vertical="center"/>
    </xf>
    <xf numFmtId="173" fontId="31" fillId="0" borderId="1" xfId="6" applyNumberFormat="1" applyFont="1" applyBorder="1" applyAlignment="1" applyProtection="1">
      <alignment vertical="center"/>
    </xf>
    <xf numFmtId="2" fontId="31" fillId="0" borderId="13" xfId="0" applyNumberFormat="1" applyFont="1" applyBorder="1" applyAlignment="1">
      <alignment vertical="center"/>
    </xf>
    <xf numFmtId="0" fontId="31" fillId="0" borderId="61" xfId="0" applyFont="1" applyBorder="1" applyAlignment="1">
      <alignment vertical="center"/>
    </xf>
    <xf numFmtId="165" fontId="33" fillId="7" borderId="62" xfId="6" applyFont="1" applyFill="1" applyBorder="1" applyProtection="1"/>
    <xf numFmtId="0" fontId="31" fillId="0" borderId="58" xfId="0" applyFont="1" applyBorder="1" applyAlignment="1">
      <alignment horizontal="center" vertical="center"/>
    </xf>
    <xf numFmtId="173" fontId="31" fillId="0" borderId="24" xfId="0" applyNumberFormat="1" applyFont="1" applyBorder="1" applyProtection="1">
      <protection locked="0"/>
    </xf>
    <xf numFmtId="173" fontId="35" fillId="0" borderId="23" xfId="0" applyNumberFormat="1" applyFont="1" applyBorder="1" applyProtection="1">
      <protection locked="0"/>
    </xf>
    <xf numFmtId="9" fontId="35" fillId="0" borderId="23" xfId="0" applyNumberFormat="1" applyFont="1" applyBorder="1" applyProtection="1">
      <protection locked="0"/>
    </xf>
    <xf numFmtId="0" fontId="31" fillId="0" borderId="22" xfId="0" applyFont="1" applyBorder="1" applyProtection="1">
      <protection locked="0"/>
    </xf>
    <xf numFmtId="173" fontId="36" fillId="2" borderId="21" xfId="6" applyNumberFormat="1" applyFont="1" applyFill="1" applyBorder="1" applyAlignment="1" applyProtection="1">
      <alignment vertical="center"/>
      <protection locked="0"/>
    </xf>
    <xf numFmtId="0" fontId="36" fillId="0" borderId="58" xfId="0" applyFont="1" applyBorder="1" applyAlignment="1" applyProtection="1">
      <alignment horizontal="center" vertical="center"/>
      <protection locked="0"/>
    </xf>
    <xf numFmtId="173" fontId="31" fillId="0" borderId="37" xfId="6" applyNumberFormat="1" applyFont="1" applyBorder="1" applyAlignment="1" applyProtection="1">
      <alignment vertical="center"/>
    </xf>
    <xf numFmtId="173" fontId="31" fillId="0" borderId="0" xfId="6" applyNumberFormat="1" applyFont="1" applyBorder="1" applyAlignment="1" applyProtection="1">
      <alignment vertical="center"/>
    </xf>
    <xf numFmtId="0" fontId="31" fillId="0" borderId="0" xfId="0" applyFont="1" applyAlignment="1">
      <alignment vertical="center"/>
    </xf>
    <xf numFmtId="173" fontId="20" fillId="0" borderId="24" xfId="0" applyNumberFormat="1" applyFont="1" applyBorder="1" applyProtection="1">
      <protection locked="0"/>
    </xf>
    <xf numFmtId="0" fontId="20" fillId="0" borderId="39" xfId="0" applyFont="1" applyBorder="1" applyAlignment="1" applyProtection="1">
      <alignment vertical="center"/>
      <protection locked="0"/>
    </xf>
    <xf numFmtId="173" fontId="20" fillId="0" borderId="24" xfId="6" applyNumberFormat="1" applyFont="1" applyBorder="1" applyProtection="1">
      <protection locked="0"/>
    </xf>
    <xf numFmtId="173" fontId="20" fillId="0" borderId="37" xfId="6" applyNumberFormat="1" applyFont="1" applyBorder="1" applyProtection="1">
      <protection locked="0"/>
    </xf>
    <xf numFmtId="172" fontId="20" fillId="0" borderId="0" xfId="3" applyNumberFormat="1" applyFont="1" applyBorder="1" applyProtection="1">
      <protection locked="0"/>
    </xf>
    <xf numFmtId="0" fontId="20" fillId="0" borderId="33" xfId="0" applyFont="1" applyBorder="1" applyAlignment="1" applyProtection="1">
      <alignment horizontal="center" vertical="center"/>
      <protection locked="0"/>
    </xf>
    <xf numFmtId="172" fontId="20" fillId="0" borderId="0" xfId="3" applyNumberFormat="1" applyFont="1" applyProtection="1">
      <protection locked="0"/>
    </xf>
    <xf numFmtId="183" fontId="20" fillId="0" borderId="0" xfId="5" applyNumberFormat="1" applyFont="1" applyProtection="1">
      <protection locked="0"/>
    </xf>
    <xf numFmtId="0" fontId="37" fillId="9" borderId="36" xfId="0" applyFont="1" applyFill="1" applyBorder="1" applyAlignment="1" applyProtection="1">
      <alignment horizontal="center" vertical="center" wrapText="1"/>
      <protection locked="0"/>
    </xf>
    <xf numFmtId="173" fontId="20" fillId="0" borderId="37" xfId="0" applyNumberFormat="1" applyFont="1" applyBorder="1" applyAlignment="1" applyProtection="1">
      <alignment vertical="center"/>
      <protection locked="0"/>
    </xf>
    <xf numFmtId="173" fontId="20" fillId="0" borderId="0" xfId="0" applyNumberFormat="1" applyFont="1" applyAlignment="1" applyProtection="1">
      <alignment vertical="center"/>
      <protection locked="0"/>
    </xf>
    <xf numFmtId="172" fontId="20" fillId="0" borderId="0" xfId="3" applyNumberFormat="1" applyFont="1" applyAlignment="1" applyProtection="1">
      <alignment vertical="center"/>
      <protection locked="0"/>
    </xf>
    <xf numFmtId="173" fontId="20" fillId="0" borderId="33" xfId="0" applyNumberFormat="1" applyFont="1" applyBorder="1" applyAlignment="1" applyProtection="1">
      <alignment horizontal="center" vertical="center"/>
      <protection locked="0"/>
    </xf>
    <xf numFmtId="0" fontId="31" fillId="0" borderId="62" xfId="0" applyFont="1" applyBorder="1" applyAlignment="1" applyProtection="1">
      <alignment horizontal="center" vertical="center"/>
      <protection locked="0"/>
    </xf>
    <xf numFmtId="0" fontId="31" fillId="0" borderId="66" xfId="0" applyFont="1" applyBorder="1" applyAlignment="1" applyProtection="1">
      <alignment horizontal="center" vertical="center"/>
      <protection locked="0"/>
    </xf>
    <xf numFmtId="0" fontId="31" fillId="0" borderId="67" xfId="0" applyFont="1" applyBorder="1" applyAlignment="1" applyProtection="1">
      <alignment horizontal="center" vertical="center"/>
      <protection locked="0"/>
    </xf>
    <xf numFmtId="0" fontId="33" fillId="0" borderId="56" xfId="6" applyNumberFormat="1" applyFont="1" applyFill="1" applyBorder="1" applyAlignment="1" applyProtection="1">
      <alignment vertical="center"/>
    </xf>
    <xf numFmtId="173" fontId="35" fillId="0" borderId="45" xfId="6" applyNumberFormat="1" applyFont="1" applyBorder="1" applyAlignment="1" applyProtection="1">
      <alignment vertical="center"/>
    </xf>
    <xf numFmtId="173" fontId="33" fillId="0" borderId="37" xfId="6" applyNumberFormat="1" applyFont="1" applyFill="1" applyBorder="1" applyAlignment="1" applyProtection="1">
      <alignment vertical="center"/>
    </xf>
    <xf numFmtId="173" fontId="35" fillId="0" borderId="0" xfId="6" applyNumberFormat="1" applyFont="1" applyFill="1" applyBorder="1" applyAlignment="1" applyProtection="1">
      <alignment vertical="center"/>
    </xf>
    <xf numFmtId="0" fontId="5" fillId="0" borderId="0" xfId="0" applyFont="1" applyAlignment="1" applyProtection="1">
      <alignment vertical="center"/>
      <protection locked="0"/>
    </xf>
    <xf numFmtId="0" fontId="6" fillId="0" borderId="0" xfId="0" applyFont="1" applyAlignment="1" applyProtection="1">
      <alignment horizontal="center" vertical="center"/>
      <protection locked="0"/>
    </xf>
    <xf numFmtId="0" fontId="5" fillId="0" borderId="0" xfId="0" applyFont="1" applyProtection="1">
      <protection locked="0"/>
    </xf>
    <xf numFmtId="183" fontId="5" fillId="0" borderId="0" xfId="5" applyNumberFormat="1" applyFont="1" applyProtection="1">
      <protection locked="0"/>
    </xf>
    <xf numFmtId="173" fontId="5" fillId="0" borderId="0" xfId="0" applyNumberFormat="1" applyFont="1" applyProtection="1">
      <protection locked="0"/>
    </xf>
    <xf numFmtId="0" fontId="5" fillId="0" borderId="0" xfId="0" applyFont="1" applyAlignment="1" applyProtection="1">
      <alignment horizontal="center" vertical="center"/>
      <protection locked="0"/>
    </xf>
    <xf numFmtId="173" fontId="5" fillId="0" borderId="26" xfId="6" applyNumberFormat="1" applyFont="1" applyBorder="1" applyAlignment="1" applyProtection="1">
      <alignment vertical="center"/>
      <protection locked="0"/>
    </xf>
    <xf numFmtId="173" fontId="8" fillId="0" borderId="0" xfId="6" applyNumberFormat="1" applyFont="1" applyFill="1" applyBorder="1" applyAlignment="1" applyProtection="1">
      <alignment vertical="center"/>
    </xf>
    <xf numFmtId="0" fontId="6" fillId="7" borderId="38" xfId="0" applyFont="1" applyFill="1" applyBorder="1" applyAlignment="1" applyProtection="1">
      <alignment horizontal="center" vertical="center"/>
      <protection locked="0"/>
    </xf>
    <xf numFmtId="165" fontId="28" fillId="7" borderId="62" xfId="6" applyFont="1" applyFill="1" applyBorder="1" applyProtection="1"/>
    <xf numFmtId="0" fontId="6" fillId="0" borderId="4" xfId="0" applyFont="1" applyBorder="1" applyAlignment="1">
      <alignment vertical="center"/>
    </xf>
    <xf numFmtId="173" fontId="6" fillId="0" borderId="1" xfId="0" applyNumberFormat="1" applyFont="1" applyBorder="1" applyAlignment="1">
      <alignment vertical="center"/>
    </xf>
    <xf numFmtId="173" fontId="6" fillId="0" borderId="16" xfId="6" applyNumberFormat="1" applyFont="1" applyBorder="1" applyAlignment="1" applyProtection="1">
      <alignment vertical="center"/>
    </xf>
    <xf numFmtId="0" fontId="6" fillId="0" borderId="45" xfId="0" applyFont="1" applyBorder="1" applyAlignment="1">
      <alignment horizontal="center" vertical="center"/>
    </xf>
    <xf numFmtId="173" fontId="8" fillId="0" borderId="45" xfId="6" applyNumberFormat="1" applyFont="1" applyBorder="1" applyAlignment="1" applyProtection="1">
      <alignment vertical="center"/>
    </xf>
    <xf numFmtId="165" fontId="9" fillId="0" borderId="56" xfId="6" applyFont="1" applyFill="1" applyBorder="1" applyAlignment="1" applyProtection="1">
      <alignment vertical="center"/>
    </xf>
    <xf numFmtId="0" fontId="28" fillId="6" borderId="22" xfId="0" applyFont="1" applyFill="1" applyBorder="1" applyAlignment="1" applyProtection="1">
      <alignment horizontal="center" vertical="center"/>
      <protection locked="0"/>
    </xf>
    <xf numFmtId="0" fontId="6" fillId="0" borderId="22" xfId="0" applyFont="1" applyBorder="1" applyAlignment="1" applyProtection="1">
      <alignment horizontal="center" vertical="center"/>
      <protection locked="0"/>
    </xf>
    <xf numFmtId="173" fontId="5" fillId="0" borderId="24" xfId="6" applyNumberFormat="1" applyFont="1" applyBorder="1" applyAlignment="1" applyProtection="1">
      <alignment vertical="center"/>
      <protection locked="0"/>
    </xf>
    <xf numFmtId="0" fontId="38" fillId="0" borderId="0" xfId="0" applyFont="1" applyAlignment="1" applyProtection="1">
      <alignment vertical="center" wrapText="1"/>
      <protection locked="0"/>
    </xf>
    <xf numFmtId="0" fontId="38" fillId="0" borderId="0" xfId="0" applyFont="1" applyProtection="1">
      <protection locked="0"/>
    </xf>
    <xf numFmtId="173" fontId="5" fillId="0" borderId="29" xfId="6" applyNumberFormat="1" applyFont="1" applyBorder="1" applyAlignment="1" applyProtection="1">
      <alignment vertical="center"/>
      <protection locked="0"/>
    </xf>
    <xf numFmtId="0" fontId="6" fillId="0" borderId="0" xfId="0" applyFont="1" applyAlignment="1" applyProtection="1">
      <alignment vertical="center"/>
      <protection locked="0"/>
    </xf>
    <xf numFmtId="173" fontId="5" fillId="0" borderId="0" xfId="6" applyNumberFormat="1" applyFont="1" applyAlignment="1" applyProtection="1">
      <alignment vertical="center"/>
      <protection locked="0"/>
    </xf>
    <xf numFmtId="0" fontId="6" fillId="0" borderId="68" xfId="0" applyFont="1" applyBorder="1" applyAlignment="1">
      <alignment horizontal="center" vertical="center"/>
    </xf>
    <xf numFmtId="0" fontId="9" fillId="5" borderId="1" xfId="0" applyFont="1" applyFill="1" applyBorder="1" applyAlignment="1" applyProtection="1">
      <alignment horizontal="center" vertical="center"/>
      <protection locked="0"/>
    </xf>
    <xf numFmtId="173" fontId="9" fillId="5" borderId="1" xfId="6" applyNumberFormat="1" applyFont="1" applyFill="1" applyBorder="1" applyAlignment="1" applyProtection="1">
      <alignment vertical="center"/>
      <protection locked="0"/>
    </xf>
    <xf numFmtId="0" fontId="0" fillId="10" borderId="1" xfId="0" applyFill="1" applyBorder="1"/>
    <xf numFmtId="0" fontId="39" fillId="0" borderId="0" xfId="0" applyFont="1"/>
    <xf numFmtId="0" fontId="40" fillId="11" borderId="1" xfId="0" applyFont="1" applyFill="1" applyBorder="1" applyAlignment="1">
      <alignment horizontal="center" vertical="center" wrapText="1"/>
    </xf>
    <xf numFmtId="0" fontId="40" fillId="5" borderId="1" xfId="0" applyFont="1" applyFill="1" applyBorder="1" applyAlignment="1">
      <alignment horizontal="center" vertical="center" wrapText="1"/>
    </xf>
    <xf numFmtId="0" fontId="40" fillId="6" borderId="1" xfId="0" applyFont="1" applyFill="1" applyBorder="1" applyAlignment="1">
      <alignment horizontal="center" vertical="center" wrapText="1"/>
    </xf>
    <xf numFmtId="0" fontId="40" fillId="12" borderId="1" xfId="0" applyFont="1" applyFill="1" applyBorder="1" applyAlignment="1">
      <alignment horizontal="center" vertical="center" wrapText="1"/>
    </xf>
    <xf numFmtId="0" fontId="40" fillId="12" borderId="1" xfId="0" applyFont="1" applyFill="1" applyBorder="1" applyAlignment="1">
      <alignment horizontal="center" vertical="center"/>
    </xf>
    <xf numFmtId="0" fontId="11" fillId="11" borderId="1" xfId="0" applyFont="1" applyFill="1" applyBorder="1"/>
    <xf numFmtId="0" fontId="41" fillId="10" borderId="1" xfId="0" applyFont="1" applyFill="1" applyBorder="1" applyAlignment="1">
      <alignment horizontal="center" vertical="center" wrapText="1"/>
    </xf>
    <xf numFmtId="0" fontId="0" fillId="12" borderId="44" xfId="0" applyFill="1" applyBorder="1"/>
    <xf numFmtId="0" fontId="0" fillId="5" borderId="44" xfId="0" applyFill="1" applyBorder="1"/>
    <xf numFmtId="0" fontId="0" fillId="10" borderId="44" xfId="0" applyFill="1" applyBorder="1"/>
    <xf numFmtId="43" fontId="5" fillId="0" borderId="0" xfId="0" applyNumberFormat="1" applyFont="1" applyProtection="1">
      <protection locked="0"/>
    </xf>
    <xf numFmtId="0" fontId="6" fillId="6" borderId="43" xfId="0" applyFont="1" applyFill="1" applyBorder="1" applyAlignment="1" applyProtection="1">
      <alignment vertical="center"/>
      <protection locked="0"/>
    </xf>
    <xf numFmtId="0" fontId="6" fillId="0" borderId="28" xfId="0" applyFont="1" applyBorder="1" applyAlignment="1">
      <alignment vertical="center"/>
    </xf>
    <xf numFmtId="173" fontId="6" fillId="0" borderId="28" xfId="6" applyNumberFormat="1" applyFont="1" applyBorder="1" applyAlignment="1" applyProtection="1">
      <alignment vertical="center"/>
    </xf>
    <xf numFmtId="173" fontId="6" fillId="0" borderId="29" xfId="6" applyNumberFormat="1" applyFont="1" applyBorder="1" applyAlignment="1" applyProtection="1">
      <alignment vertical="center"/>
    </xf>
    <xf numFmtId="0" fontId="11" fillId="11" borderId="44" xfId="0" applyFont="1" applyFill="1" applyBorder="1"/>
    <xf numFmtId="173" fontId="8" fillId="5" borderId="1" xfId="6" applyNumberFormat="1" applyFont="1" applyFill="1" applyBorder="1" applyAlignment="1" applyProtection="1">
      <alignment vertical="center"/>
      <protection locked="0"/>
    </xf>
    <xf numFmtId="0" fontId="9" fillId="5" borderId="4" xfId="0" applyFont="1" applyFill="1" applyBorder="1" applyAlignment="1" applyProtection="1">
      <alignment horizontal="center" vertical="center"/>
      <protection locked="0"/>
    </xf>
    <xf numFmtId="0" fontId="28" fillId="7" borderId="18" xfId="0" applyFont="1" applyFill="1" applyBorder="1" applyAlignment="1" applyProtection="1">
      <alignment horizontal="center"/>
      <protection locked="0"/>
    </xf>
    <xf numFmtId="173" fontId="28" fillId="7" borderId="29" xfId="6" applyNumberFormat="1" applyFont="1" applyFill="1" applyBorder="1" applyAlignment="1" applyProtection="1">
      <alignment vertical="center"/>
    </xf>
    <xf numFmtId="0" fontId="6" fillId="7" borderId="67" xfId="0" applyFont="1" applyFill="1" applyBorder="1" applyAlignment="1" applyProtection="1">
      <alignment horizontal="center" vertical="center"/>
      <protection locked="0"/>
    </xf>
    <xf numFmtId="0" fontId="6" fillId="0" borderId="28" xfId="0" applyFont="1" applyBorder="1" applyProtection="1">
      <protection locked="0"/>
    </xf>
    <xf numFmtId="9" fontId="38" fillId="0" borderId="28" xfId="0" applyNumberFormat="1" applyFont="1" applyBorder="1" applyProtection="1">
      <protection locked="0"/>
    </xf>
    <xf numFmtId="173" fontId="38" fillId="0" borderId="28" xfId="0" applyNumberFormat="1" applyFont="1" applyBorder="1" applyProtection="1">
      <protection locked="0"/>
    </xf>
    <xf numFmtId="0" fontId="42" fillId="5" borderId="1" xfId="0" applyFont="1" applyFill="1" applyBorder="1" applyAlignment="1">
      <alignment horizontal="center" vertical="center" wrapText="1"/>
    </xf>
    <xf numFmtId="173" fontId="28" fillId="7" borderId="62" xfId="6" applyNumberFormat="1" applyFont="1" applyFill="1" applyBorder="1" applyAlignment="1" applyProtection="1">
      <alignment vertical="center"/>
      <protection locked="0"/>
    </xf>
    <xf numFmtId="0" fontId="6" fillId="7" borderId="22" xfId="0" applyFont="1" applyFill="1" applyBorder="1" applyAlignment="1" applyProtection="1">
      <alignment horizontal="center" vertical="center"/>
      <protection locked="0"/>
    </xf>
    <xf numFmtId="0" fontId="6" fillId="7" borderId="1" xfId="0" applyFont="1" applyFill="1" applyBorder="1" applyAlignment="1" applyProtection="1">
      <alignment horizontal="center" vertical="center"/>
      <protection locked="0"/>
    </xf>
    <xf numFmtId="0" fontId="6" fillId="7" borderId="12" xfId="0" applyFont="1" applyFill="1" applyBorder="1" applyAlignment="1" applyProtection="1">
      <alignment horizontal="center" vertical="center"/>
      <protection locked="0"/>
    </xf>
    <xf numFmtId="0" fontId="6" fillId="7" borderId="17" xfId="0" applyFont="1" applyFill="1" applyBorder="1" applyAlignment="1" applyProtection="1">
      <alignment horizontal="center" vertical="center"/>
      <protection locked="0"/>
    </xf>
    <xf numFmtId="173" fontId="28" fillId="7" borderId="14" xfId="6" applyNumberFormat="1" applyFont="1" applyFill="1" applyBorder="1" applyAlignment="1" applyProtection="1">
      <alignment vertical="center"/>
      <protection locked="0"/>
    </xf>
    <xf numFmtId="173" fontId="28" fillId="7" borderId="19" xfId="6" applyNumberFormat="1" applyFont="1" applyFill="1" applyBorder="1" applyAlignment="1" applyProtection="1">
      <alignment vertical="center"/>
      <protection locked="0"/>
    </xf>
    <xf numFmtId="173" fontId="28" fillId="7" borderId="51" xfId="6" applyNumberFormat="1" applyFont="1" applyFill="1" applyBorder="1" applyAlignment="1" applyProtection="1">
      <alignment vertical="center"/>
      <protection locked="0"/>
    </xf>
    <xf numFmtId="173" fontId="28" fillId="7" borderId="47" xfId="6" applyNumberFormat="1" applyFont="1" applyFill="1" applyBorder="1" applyAlignment="1" applyProtection="1">
      <alignment vertical="center"/>
      <protection locked="0"/>
    </xf>
    <xf numFmtId="173" fontId="28" fillId="7" borderId="24" xfId="6" applyNumberFormat="1" applyFont="1" applyFill="1" applyBorder="1" applyAlignment="1" applyProtection="1">
      <alignment vertical="center"/>
      <protection locked="0"/>
    </xf>
    <xf numFmtId="173" fontId="28" fillId="7" borderId="1" xfId="6" applyNumberFormat="1" applyFont="1" applyFill="1" applyBorder="1" applyAlignment="1" applyProtection="1">
      <alignment vertical="center"/>
      <protection locked="0"/>
    </xf>
    <xf numFmtId="173" fontId="6" fillId="0" borderId="29" xfId="0" applyNumberFormat="1" applyFont="1" applyBorder="1" applyProtection="1">
      <protection locked="0"/>
    </xf>
    <xf numFmtId="173" fontId="6" fillId="0" borderId="1" xfId="0" applyNumberFormat="1" applyFont="1" applyBorder="1" applyProtection="1">
      <protection locked="0"/>
    </xf>
    <xf numFmtId="0" fontId="5" fillId="0" borderId="1" xfId="0" applyFont="1" applyBorder="1" applyProtection="1">
      <protection locked="0"/>
    </xf>
    <xf numFmtId="0" fontId="28" fillId="6" borderId="1" xfId="0" applyFont="1" applyFill="1" applyBorder="1" applyProtection="1">
      <protection locked="0"/>
    </xf>
    <xf numFmtId="0" fontId="6" fillId="7" borderId="0" xfId="0" applyFont="1" applyFill="1" applyAlignment="1" applyProtection="1">
      <alignment horizontal="center" vertical="center"/>
      <protection locked="0"/>
    </xf>
    <xf numFmtId="0" fontId="38" fillId="7" borderId="0" xfId="0" applyFont="1" applyFill="1" applyAlignment="1" applyProtection="1">
      <alignment horizontal="center" vertical="center" wrapText="1"/>
      <protection locked="0"/>
    </xf>
    <xf numFmtId="173" fontId="28" fillId="7" borderId="0" xfId="6" applyNumberFormat="1" applyFont="1" applyFill="1" applyBorder="1" applyAlignment="1" applyProtection="1">
      <alignment vertical="center"/>
      <protection locked="0"/>
    </xf>
    <xf numFmtId="1" fontId="6" fillId="7" borderId="1" xfId="0" applyNumberFormat="1" applyFont="1" applyFill="1" applyBorder="1" applyProtection="1">
      <protection locked="0"/>
    </xf>
    <xf numFmtId="173" fontId="9" fillId="5" borderId="1" xfId="6" applyNumberFormat="1" applyFont="1" applyFill="1" applyBorder="1" applyAlignment="1" applyProtection="1">
      <alignment horizontal="center" vertical="center"/>
      <protection locked="0"/>
    </xf>
    <xf numFmtId="0" fontId="38" fillId="7" borderId="1" xfId="0" applyFont="1" applyFill="1" applyBorder="1" applyAlignment="1" applyProtection="1">
      <alignment vertical="center" wrapText="1"/>
      <protection locked="0"/>
    </xf>
    <xf numFmtId="173" fontId="38" fillId="7" borderId="1" xfId="6" applyNumberFormat="1" applyFont="1" applyFill="1" applyBorder="1" applyAlignment="1" applyProtection="1">
      <alignment horizontal="center" vertical="center"/>
      <protection locked="0"/>
    </xf>
    <xf numFmtId="0" fontId="28" fillId="6" borderId="70" xfId="0" applyFont="1" applyFill="1" applyBorder="1" applyAlignment="1" applyProtection="1">
      <alignment horizontal="center" vertical="center"/>
      <protection locked="0"/>
    </xf>
    <xf numFmtId="0" fontId="9" fillId="5" borderId="71" xfId="0" applyFont="1" applyFill="1" applyBorder="1" applyAlignment="1" applyProtection="1">
      <alignment horizontal="center" vertical="center"/>
      <protection locked="0"/>
    </xf>
    <xf numFmtId="0" fontId="28" fillId="7" borderId="1" xfId="0" applyFont="1" applyFill="1" applyBorder="1" applyProtection="1">
      <protection locked="0"/>
    </xf>
    <xf numFmtId="1" fontId="28" fillId="7" borderId="1" xfId="0" applyNumberFormat="1" applyFont="1" applyFill="1" applyBorder="1" applyProtection="1">
      <protection locked="0"/>
    </xf>
    <xf numFmtId="173" fontId="28" fillId="7" borderId="1" xfId="0" applyNumberFormat="1" applyFont="1" applyFill="1" applyBorder="1" applyProtection="1">
      <protection locked="0"/>
    </xf>
    <xf numFmtId="173" fontId="8" fillId="5" borderId="44" xfId="6" applyNumberFormat="1" applyFont="1" applyFill="1" applyBorder="1" applyAlignment="1" applyProtection="1">
      <alignment vertical="center"/>
      <protection locked="0"/>
    </xf>
    <xf numFmtId="0" fontId="40" fillId="0" borderId="1" xfId="0" applyFont="1" applyBorder="1" applyAlignment="1">
      <alignment horizontal="center" vertical="center" wrapText="1"/>
    </xf>
    <xf numFmtId="0" fontId="5" fillId="7" borderId="24" xfId="0" applyFont="1" applyFill="1" applyBorder="1" applyAlignment="1" applyProtection="1">
      <alignment vertical="center"/>
      <protection locked="0"/>
    </xf>
    <xf numFmtId="9" fontId="38" fillId="7" borderId="26" xfId="0" applyNumberFormat="1" applyFont="1" applyFill="1" applyBorder="1" applyAlignment="1" applyProtection="1">
      <alignment vertical="center"/>
      <protection locked="0"/>
    </xf>
    <xf numFmtId="0" fontId="38" fillId="7" borderId="24" xfId="0" applyFont="1" applyFill="1" applyBorder="1" applyAlignment="1" applyProtection="1">
      <alignment vertical="center"/>
      <protection locked="0"/>
    </xf>
    <xf numFmtId="0" fontId="5" fillId="7" borderId="29" xfId="0" applyFont="1" applyFill="1" applyBorder="1" applyAlignment="1" applyProtection="1">
      <alignment vertical="center"/>
      <protection locked="0"/>
    </xf>
    <xf numFmtId="0" fontId="5" fillId="7" borderId="26" xfId="0" applyFont="1" applyFill="1" applyBorder="1" applyAlignment="1" applyProtection="1">
      <alignment vertical="center"/>
      <protection locked="0"/>
    </xf>
    <xf numFmtId="0" fontId="28" fillId="7" borderId="29" xfId="0" applyFont="1" applyFill="1" applyBorder="1" applyAlignment="1" applyProtection="1">
      <alignment horizontal="center" vertical="center"/>
      <protection locked="0"/>
    </xf>
    <xf numFmtId="0" fontId="38" fillId="7" borderId="26" xfId="0" applyFont="1" applyFill="1" applyBorder="1" applyAlignment="1" applyProtection="1">
      <alignment vertical="center"/>
      <protection locked="0"/>
    </xf>
    <xf numFmtId="173" fontId="38" fillId="7" borderId="26" xfId="6" applyNumberFormat="1" applyFont="1" applyFill="1" applyBorder="1" applyAlignment="1" applyProtection="1">
      <alignment vertical="center"/>
      <protection locked="0"/>
    </xf>
    <xf numFmtId="173" fontId="28" fillId="7" borderId="29" xfId="6" applyNumberFormat="1" applyFont="1" applyFill="1" applyBorder="1" applyAlignment="1" applyProtection="1">
      <alignment vertical="center"/>
      <protection locked="0"/>
    </xf>
    <xf numFmtId="173" fontId="28" fillId="7" borderId="37" xfId="6" applyNumberFormat="1" applyFont="1" applyFill="1" applyBorder="1" applyAlignment="1" applyProtection="1">
      <alignment vertical="center"/>
      <protection locked="0"/>
    </xf>
    <xf numFmtId="173" fontId="28" fillId="7" borderId="26" xfId="6" applyNumberFormat="1" applyFont="1" applyFill="1" applyBorder="1" applyAlignment="1" applyProtection="1">
      <alignment vertical="center"/>
      <protection locked="0"/>
    </xf>
    <xf numFmtId="173" fontId="28" fillId="7" borderId="50" xfId="6" applyNumberFormat="1" applyFont="1" applyFill="1" applyBorder="1" applyAlignment="1" applyProtection="1">
      <alignment vertical="center"/>
      <protection locked="0"/>
    </xf>
    <xf numFmtId="0" fontId="28" fillId="7" borderId="24" xfId="0" applyFont="1" applyFill="1" applyBorder="1" applyAlignment="1" applyProtection="1">
      <alignment horizontal="center" vertical="center"/>
      <protection locked="0"/>
    </xf>
    <xf numFmtId="0" fontId="6" fillId="7" borderId="22" xfId="0" applyFont="1" applyFill="1" applyBorder="1" applyAlignment="1" applyProtection="1">
      <alignment vertical="center"/>
      <protection locked="0"/>
    </xf>
    <xf numFmtId="173" fontId="8" fillId="5" borderId="30" xfId="6" applyNumberFormat="1" applyFont="1" applyFill="1" applyBorder="1" applyAlignment="1" applyProtection="1">
      <alignment vertical="center"/>
      <protection locked="0"/>
    </xf>
    <xf numFmtId="0" fontId="40" fillId="0" borderId="1" xfId="0" applyFont="1" applyBorder="1" applyAlignment="1">
      <alignment horizontal="center" vertical="center"/>
    </xf>
    <xf numFmtId="173" fontId="0" fillId="0" borderId="0" xfId="0" applyNumberFormat="1"/>
    <xf numFmtId="0" fontId="40" fillId="6" borderId="1" xfId="0" applyFont="1" applyFill="1" applyBorder="1" applyAlignment="1">
      <alignment horizontal="center" vertical="center" wrapText="1"/>
    </xf>
    <xf numFmtId="0" fontId="0" fillId="0" borderId="1" xfId="0" applyBorder="1" applyAlignment="1">
      <alignment horizontal="center"/>
    </xf>
    <xf numFmtId="0" fontId="5" fillId="0" borderId="42" xfId="0" applyFont="1" applyBorder="1" applyAlignment="1">
      <alignment horizontal="center"/>
    </xf>
    <xf numFmtId="0" fontId="5" fillId="0" borderId="3" xfId="0" applyFont="1" applyBorder="1" applyAlignment="1">
      <alignment horizontal="center"/>
    </xf>
    <xf numFmtId="170" fontId="5" fillId="0" borderId="1" xfId="0" applyNumberFormat="1" applyFont="1" applyBorder="1" applyAlignment="1">
      <alignment horizontal="center" wrapText="1"/>
    </xf>
    <xf numFmtId="0" fontId="0" fillId="0" borderId="0" xfId="0" applyAlignment="1">
      <alignment horizontal="center"/>
    </xf>
    <xf numFmtId="0" fontId="5" fillId="0" borderId="41" xfId="0" applyFont="1" applyBorder="1" applyAlignment="1">
      <alignment horizontal="center"/>
    </xf>
    <xf numFmtId="0" fontId="0" fillId="0" borderId="1" xfId="0" applyBorder="1" applyAlignment="1">
      <alignment horizontal="center" vertical="center"/>
    </xf>
    <xf numFmtId="0" fontId="0" fillId="0" borderId="21" xfId="0" applyBorder="1" applyAlignment="1">
      <alignment horizontal="center" vertical="center"/>
    </xf>
    <xf numFmtId="0" fontId="0" fillId="0" borderId="4" xfId="0" applyBorder="1" applyAlignment="1">
      <alignment horizontal="center" vertical="center"/>
    </xf>
    <xf numFmtId="0" fontId="0" fillId="0" borderId="30" xfId="0" applyBorder="1" applyAlignment="1">
      <alignment horizontal="center"/>
    </xf>
    <xf numFmtId="0" fontId="0" fillId="5" borderId="21" xfId="0" applyFill="1" applyBorder="1" applyAlignment="1">
      <alignment horizontal="center"/>
    </xf>
    <xf numFmtId="0" fontId="0" fillId="5" borderId="4" xfId="0" applyFill="1" applyBorder="1" applyAlignment="1">
      <alignment horizontal="center"/>
    </xf>
    <xf numFmtId="9" fontId="5" fillId="2" borderId="39" xfId="0" applyNumberFormat="1" applyFont="1" applyFill="1" applyBorder="1" applyAlignment="1" applyProtection="1">
      <alignment horizontal="center" vertical="top" wrapText="1"/>
      <protection locked="0"/>
    </xf>
    <xf numFmtId="9" fontId="5" fillId="2" borderId="26" xfId="0" applyNumberFormat="1" applyFont="1" applyFill="1" applyBorder="1" applyAlignment="1" applyProtection="1">
      <alignment horizontal="center" vertical="top" wrapText="1"/>
      <protection locked="0"/>
    </xf>
    <xf numFmtId="0" fontId="28" fillId="4" borderId="27" xfId="0" applyFont="1" applyFill="1" applyBorder="1" applyAlignment="1" applyProtection="1">
      <alignment horizontal="center" vertical="center"/>
      <protection locked="0"/>
    </xf>
    <xf numFmtId="0" fontId="28" fillId="4" borderId="28" xfId="0" applyFont="1" applyFill="1" applyBorder="1" applyAlignment="1" applyProtection="1">
      <alignment horizontal="center" vertical="center"/>
      <protection locked="0"/>
    </xf>
    <xf numFmtId="0" fontId="28" fillId="4" borderId="29" xfId="0" applyFont="1" applyFill="1" applyBorder="1" applyAlignment="1" applyProtection="1">
      <alignment horizontal="center" vertical="center"/>
      <protection locked="0"/>
    </xf>
    <xf numFmtId="0" fontId="28" fillId="4" borderId="22" xfId="0" applyFont="1" applyFill="1" applyBorder="1" applyAlignment="1">
      <alignment horizontal="center"/>
    </xf>
    <xf numFmtId="0" fontId="28" fillId="4" borderId="23" xfId="0" applyFont="1" applyFill="1" applyBorder="1" applyAlignment="1">
      <alignment horizontal="center"/>
    </xf>
    <xf numFmtId="0" fontId="28" fillId="4" borderId="24" xfId="0" applyFont="1" applyFill="1" applyBorder="1" applyAlignment="1">
      <alignment horizontal="center"/>
    </xf>
    <xf numFmtId="0" fontId="28" fillId="4" borderId="12" xfId="0" applyFont="1" applyFill="1" applyBorder="1" applyAlignment="1">
      <alignment horizontal="center" vertical="center"/>
    </xf>
    <xf numFmtId="0" fontId="28" fillId="4" borderId="34" xfId="0" applyFont="1" applyFill="1" applyBorder="1" applyAlignment="1">
      <alignment horizontal="center" vertical="center"/>
    </xf>
    <xf numFmtId="0" fontId="28" fillId="4" borderId="27" xfId="0" applyFont="1" applyFill="1" applyBorder="1" applyAlignment="1" applyProtection="1">
      <alignment horizontal="center" vertical="center" wrapText="1"/>
      <protection locked="0"/>
    </xf>
    <xf numFmtId="0" fontId="28" fillId="4" borderId="28" xfId="0" applyFont="1" applyFill="1" applyBorder="1" applyAlignment="1" applyProtection="1">
      <alignment horizontal="center" vertical="center" wrapText="1"/>
      <protection locked="0"/>
    </xf>
    <xf numFmtId="0" fontId="5" fillId="2" borderId="0" xfId="0" applyFont="1" applyFill="1" applyAlignment="1" applyProtection="1">
      <alignment horizontal="center" vertical="top" wrapText="1"/>
      <protection locked="0"/>
    </xf>
    <xf numFmtId="0" fontId="5" fillId="2" borderId="37" xfId="0" applyFont="1" applyFill="1" applyBorder="1" applyAlignment="1" applyProtection="1">
      <alignment horizontal="center" vertical="top" wrapText="1"/>
      <protection locked="0"/>
    </xf>
    <xf numFmtId="0" fontId="28" fillId="4" borderId="22" xfId="0" applyFont="1" applyFill="1" applyBorder="1" applyAlignment="1" applyProtection="1">
      <alignment horizontal="center" wrapText="1"/>
      <protection locked="0"/>
    </xf>
    <xf numFmtId="0" fontId="28" fillId="4" borderId="23" xfId="0" applyFont="1" applyFill="1" applyBorder="1" applyAlignment="1" applyProtection="1">
      <alignment horizontal="center" wrapText="1"/>
      <protection locked="0"/>
    </xf>
    <xf numFmtId="0" fontId="28" fillId="4" borderId="24" xfId="0" applyFont="1" applyFill="1" applyBorder="1" applyAlignment="1" applyProtection="1">
      <alignment horizontal="center" wrapText="1"/>
      <protection locked="0"/>
    </xf>
    <xf numFmtId="0" fontId="6" fillId="2" borderId="45" xfId="0" applyFont="1" applyFill="1" applyBorder="1" applyAlignment="1" applyProtection="1">
      <alignment horizontal="center" vertical="top" wrapText="1"/>
      <protection locked="0"/>
    </xf>
    <xf numFmtId="0" fontId="6" fillId="2" borderId="0" xfId="0" applyFont="1" applyFill="1" applyAlignment="1" applyProtection="1">
      <alignment horizontal="center" vertical="top" wrapText="1"/>
      <protection locked="0"/>
    </xf>
    <xf numFmtId="0" fontId="28" fillId="4" borderId="13" xfId="0" applyFont="1" applyFill="1" applyBorder="1" applyAlignment="1">
      <alignment horizontal="center" vertical="center"/>
    </xf>
    <xf numFmtId="0" fontId="28" fillId="4" borderId="41" xfId="0" applyFont="1" applyFill="1" applyBorder="1" applyAlignment="1">
      <alignment horizontal="center" vertical="center"/>
    </xf>
    <xf numFmtId="0" fontId="28" fillId="4" borderId="13" xfId="0" applyFont="1" applyFill="1" applyBorder="1" applyAlignment="1">
      <alignment horizontal="center"/>
    </xf>
    <xf numFmtId="0" fontId="28" fillId="4" borderId="14" xfId="0" applyFont="1" applyFill="1" applyBorder="1" applyAlignment="1">
      <alignment horizontal="center"/>
    </xf>
    <xf numFmtId="0" fontId="28" fillId="4" borderId="22" xfId="0" applyFont="1" applyFill="1" applyBorder="1" applyAlignment="1">
      <alignment horizontal="center" vertical="center"/>
    </xf>
    <xf numFmtId="0" fontId="28" fillId="4" borderId="24" xfId="0" applyFont="1" applyFill="1" applyBorder="1" applyAlignment="1">
      <alignment horizontal="center" vertical="center"/>
    </xf>
    <xf numFmtId="0" fontId="28" fillId="4" borderId="11" xfId="0" applyFont="1" applyFill="1" applyBorder="1" applyAlignment="1">
      <alignment horizontal="center" vertical="center" wrapText="1"/>
    </xf>
    <xf numFmtId="0" fontId="28" fillId="4" borderId="25" xfId="0" applyFont="1" applyFill="1" applyBorder="1" applyAlignment="1">
      <alignment horizontal="center" vertical="center" wrapText="1"/>
    </xf>
    <xf numFmtId="0" fontId="6" fillId="2" borderId="23" xfId="0" applyFont="1" applyFill="1" applyBorder="1" applyAlignment="1">
      <alignment horizontal="center" vertical="center"/>
    </xf>
    <xf numFmtId="0" fontId="5" fillId="7" borderId="22" xfId="0" applyFont="1" applyFill="1" applyBorder="1" applyAlignment="1" applyProtection="1">
      <alignment horizontal="center" vertical="center"/>
      <protection locked="0"/>
    </xf>
    <xf numFmtId="0" fontId="5" fillId="7" borderId="23" xfId="0" applyFont="1" applyFill="1" applyBorder="1" applyAlignment="1" applyProtection="1">
      <alignment horizontal="center" vertical="center"/>
      <protection locked="0"/>
    </xf>
    <xf numFmtId="0" fontId="5" fillId="7" borderId="24" xfId="0" applyFont="1" applyFill="1" applyBorder="1" applyAlignment="1" applyProtection="1">
      <alignment horizontal="center" vertical="center"/>
      <protection locked="0"/>
    </xf>
    <xf numFmtId="0" fontId="43" fillId="6" borderId="1" xfId="0" applyFont="1" applyFill="1" applyBorder="1" applyAlignment="1">
      <alignment horizontal="center"/>
    </xf>
    <xf numFmtId="43" fontId="28" fillId="7" borderId="1" xfId="0" applyNumberFormat="1" applyFont="1" applyFill="1" applyBorder="1" applyAlignment="1" applyProtection="1">
      <alignment horizontal="center" wrapText="1"/>
      <protection locked="0"/>
    </xf>
    <xf numFmtId="0" fontId="28" fillId="6" borderId="1" xfId="0" applyFont="1" applyFill="1" applyBorder="1" applyAlignment="1" applyProtection="1">
      <alignment horizontal="center"/>
      <protection locked="0"/>
    </xf>
    <xf numFmtId="0" fontId="44" fillId="7" borderId="21" xfId="0" applyFont="1" applyFill="1" applyBorder="1" applyAlignment="1" applyProtection="1">
      <alignment horizontal="center"/>
      <protection locked="0"/>
    </xf>
    <xf numFmtId="0" fontId="44" fillId="7" borderId="4" xfId="0" applyFont="1" applyFill="1" applyBorder="1" applyAlignment="1" applyProtection="1">
      <alignment horizontal="center"/>
      <protection locked="0"/>
    </xf>
    <xf numFmtId="0" fontId="38" fillId="7" borderId="41" xfId="0" applyFont="1" applyFill="1" applyBorder="1" applyAlignment="1" applyProtection="1">
      <alignment horizontal="center" vertical="center" wrapText="1"/>
      <protection locked="0"/>
    </xf>
    <xf numFmtId="0" fontId="38" fillId="7" borderId="30" xfId="0" applyFont="1" applyFill="1" applyBorder="1" applyAlignment="1" applyProtection="1">
      <alignment horizontal="center" vertical="center" wrapText="1"/>
      <protection locked="0"/>
    </xf>
    <xf numFmtId="0" fontId="5" fillId="0" borderId="23" xfId="0" applyFont="1" applyBorder="1" applyAlignment="1" applyProtection="1">
      <alignment horizontal="center" vertical="center" wrapText="1"/>
      <protection locked="0"/>
    </xf>
    <xf numFmtId="0" fontId="5" fillId="0" borderId="24" xfId="0" applyFont="1" applyBorder="1" applyAlignment="1" applyProtection="1">
      <alignment horizontal="center" vertical="center" wrapText="1"/>
      <protection locked="0"/>
    </xf>
    <xf numFmtId="0" fontId="28" fillId="6" borderId="22" xfId="0" applyFont="1" applyFill="1" applyBorder="1" applyAlignment="1" applyProtection="1">
      <alignment horizontal="center" vertical="center"/>
      <protection locked="0"/>
    </xf>
    <xf numFmtId="0" fontId="28" fillId="6" borderId="23" xfId="0" applyFont="1" applyFill="1" applyBorder="1" applyAlignment="1" applyProtection="1">
      <alignment horizontal="center" vertical="center"/>
      <protection locked="0"/>
    </xf>
    <xf numFmtId="0" fontId="28" fillId="6" borderId="24" xfId="0" applyFont="1" applyFill="1" applyBorder="1" applyAlignment="1" applyProtection="1">
      <alignment horizontal="center" vertical="center"/>
      <protection locked="0"/>
    </xf>
    <xf numFmtId="0" fontId="38" fillId="7" borderId="23" xfId="0" applyFont="1" applyFill="1" applyBorder="1" applyAlignment="1" applyProtection="1">
      <alignment horizontal="center" vertical="center" wrapText="1"/>
      <protection locked="0"/>
    </xf>
    <xf numFmtId="0" fontId="28" fillId="6" borderId="22" xfId="0" applyFont="1" applyFill="1" applyBorder="1" applyAlignment="1" applyProtection="1">
      <alignment horizontal="center" vertical="center" wrapText="1"/>
      <protection locked="0"/>
    </xf>
    <xf numFmtId="0" fontId="28" fillId="6" borderId="23" xfId="0" applyFont="1" applyFill="1" applyBorder="1" applyAlignment="1" applyProtection="1">
      <alignment horizontal="center" vertical="center" wrapText="1"/>
      <protection locked="0"/>
    </xf>
    <xf numFmtId="0" fontId="28" fillId="6" borderId="24" xfId="0" applyFont="1" applyFill="1" applyBorder="1" applyAlignment="1" applyProtection="1">
      <alignment horizontal="center" vertical="center" wrapText="1"/>
      <protection locked="0"/>
    </xf>
    <xf numFmtId="0" fontId="6" fillId="7" borderId="27" xfId="0" applyFont="1" applyFill="1" applyBorder="1" applyAlignment="1" applyProtection="1">
      <alignment horizontal="center" vertical="center"/>
      <protection locked="0"/>
    </xf>
    <xf numFmtId="0" fontId="6" fillId="7" borderId="38" xfId="0" applyFont="1" applyFill="1" applyBorder="1" applyAlignment="1" applyProtection="1">
      <alignment horizontal="center" vertical="center"/>
      <protection locked="0"/>
    </xf>
    <xf numFmtId="0" fontId="28" fillId="7" borderId="28" xfId="0" applyFont="1" applyFill="1" applyBorder="1" applyAlignment="1" applyProtection="1">
      <alignment horizontal="center" vertical="center" wrapText="1"/>
      <protection locked="0"/>
    </xf>
    <xf numFmtId="0" fontId="28" fillId="7" borderId="28" xfId="0" applyFont="1" applyFill="1" applyBorder="1" applyAlignment="1" applyProtection="1">
      <alignment horizontal="center" vertical="center"/>
      <protection locked="0"/>
    </xf>
    <xf numFmtId="173" fontId="28" fillId="7" borderId="29" xfId="6" applyNumberFormat="1" applyFont="1" applyFill="1" applyBorder="1" applyAlignment="1" applyProtection="1">
      <alignment horizontal="center" vertical="center"/>
      <protection locked="0"/>
    </xf>
    <xf numFmtId="173" fontId="28" fillId="7" borderId="26" xfId="6" applyNumberFormat="1" applyFont="1" applyFill="1" applyBorder="1" applyAlignment="1" applyProtection="1">
      <alignment horizontal="center" vertical="center"/>
      <protection locked="0"/>
    </xf>
    <xf numFmtId="0" fontId="38" fillId="7" borderId="39" xfId="0" applyFont="1" applyFill="1" applyBorder="1" applyAlignment="1" applyProtection="1">
      <alignment horizontal="center" vertical="center" wrapText="1"/>
      <protection locked="0"/>
    </xf>
    <xf numFmtId="0" fontId="28" fillId="7" borderId="39" xfId="0" applyFont="1" applyFill="1" applyBorder="1" applyAlignment="1" applyProtection="1">
      <alignment horizontal="center" vertical="center" wrapText="1"/>
      <protection locked="0"/>
    </xf>
    <xf numFmtId="0" fontId="28" fillId="7" borderId="39" xfId="0" applyFont="1" applyFill="1" applyBorder="1" applyAlignment="1" applyProtection="1">
      <alignment horizontal="center" vertical="center"/>
      <protection locked="0"/>
    </xf>
    <xf numFmtId="0" fontId="6" fillId="0" borderId="27" xfId="0" applyFont="1" applyBorder="1" applyAlignment="1" applyProtection="1">
      <alignment horizontal="center" vertical="center"/>
      <protection locked="0"/>
    </xf>
    <xf numFmtId="0" fontId="6" fillId="0" borderId="38" xfId="0" applyFont="1" applyBorder="1" applyAlignment="1" applyProtection="1">
      <alignment horizontal="center" vertical="center"/>
      <protection locked="0"/>
    </xf>
    <xf numFmtId="0" fontId="5" fillId="0" borderId="28" xfId="0" applyFont="1" applyBorder="1" applyAlignment="1" applyProtection="1">
      <alignment horizontal="center" vertical="center" wrapText="1"/>
      <protection locked="0"/>
    </xf>
    <xf numFmtId="0" fontId="5" fillId="0" borderId="39" xfId="0" applyFont="1" applyBorder="1" applyAlignment="1" applyProtection="1">
      <alignment horizontal="center" vertical="center" wrapText="1"/>
      <protection locked="0"/>
    </xf>
    <xf numFmtId="0" fontId="5" fillId="0" borderId="0" xfId="0" applyFont="1" applyAlignment="1" applyProtection="1">
      <alignment horizontal="center" vertical="center" wrapText="1"/>
      <protection locked="0"/>
    </xf>
    <xf numFmtId="0" fontId="38" fillId="7" borderId="23" xfId="0" applyFont="1" applyFill="1" applyBorder="1" applyAlignment="1" applyProtection="1">
      <alignment horizontal="center" vertical="center"/>
      <protection locked="0"/>
    </xf>
    <xf numFmtId="0" fontId="28" fillId="6" borderId="27" xfId="0" applyFont="1" applyFill="1" applyBorder="1" applyAlignment="1" applyProtection="1">
      <alignment horizontal="center" vertical="center"/>
      <protection locked="0"/>
    </xf>
    <xf numFmtId="0" fontId="28" fillId="6" borderId="28" xfId="0" applyFont="1" applyFill="1" applyBorder="1" applyAlignment="1" applyProtection="1">
      <alignment horizontal="center" vertical="center"/>
      <protection locked="0"/>
    </xf>
    <xf numFmtId="0" fontId="28" fillId="6" borderId="29" xfId="0" applyFont="1" applyFill="1" applyBorder="1" applyAlignment="1" applyProtection="1">
      <alignment horizontal="center" vertical="center"/>
      <protection locked="0"/>
    </xf>
    <xf numFmtId="0" fontId="38" fillId="7" borderId="28" xfId="0" applyFont="1" applyFill="1" applyBorder="1" applyAlignment="1" applyProtection="1">
      <alignment horizontal="center" vertical="center" wrapText="1"/>
      <protection locked="0"/>
    </xf>
    <xf numFmtId="0" fontId="5" fillId="0" borderId="0" xfId="0" applyFont="1" applyAlignment="1" applyProtection="1">
      <alignment horizontal="center" vertical="center"/>
      <protection locked="0"/>
    </xf>
    <xf numFmtId="0" fontId="38" fillId="7" borderId="39" xfId="0" applyFont="1" applyFill="1" applyBorder="1" applyAlignment="1" applyProtection="1">
      <alignment horizontal="center" vertical="center"/>
      <protection locked="0"/>
    </xf>
    <xf numFmtId="0" fontId="28" fillId="7" borderId="23" xfId="0" applyFont="1" applyFill="1" applyBorder="1" applyAlignment="1" applyProtection="1">
      <alignment horizontal="center" vertical="center" wrapText="1"/>
      <protection locked="0"/>
    </xf>
    <xf numFmtId="0" fontId="28" fillId="7" borderId="23" xfId="0" applyFont="1" applyFill="1" applyBorder="1" applyAlignment="1" applyProtection="1">
      <alignment horizontal="center" vertical="center"/>
      <protection locked="0"/>
    </xf>
    <xf numFmtId="0" fontId="38" fillId="7" borderId="24" xfId="0" applyFont="1" applyFill="1" applyBorder="1" applyAlignment="1" applyProtection="1">
      <alignment horizontal="center" vertical="center" wrapText="1"/>
      <protection locked="0"/>
    </xf>
    <xf numFmtId="0" fontId="6" fillId="7" borderId="33" xfId="0" applyFont="1" applyFill="1" applyBorder="1" applyAlignment="1" applyProtection="1">
      <alignment horizontal="center" vertical="center"/>
      <protection locked="0"/>
    </xf>
    <xf numFmtId="0" fontId="28" fillId="7" borderId="42" xfId="0" applyFont="1" applyFill="1" applyBorder="1" applyAlignment="1" applyProtection="1">
      <alignment horizontal="center" vertical="center" wrapText="1"/>
      <protection locked="0"/>
    </xf>
    <xf numFmtId="0" fontId="28" fillId="7" borderId="3" xfId="0" applyFont="1" applyFill="1" applyBorder="1" applyAlignment="1" applyProtection="1">
      <alignment horizontal="center" vertical="center" wrapText="1"/>
      <protection locked="0"/>
    </xf>
    <xf numFmtId="0" fontId="28" fillId="7" borderId="49" xfId="0" applyFont="1" applyFill="1" applyBorder="1" applyAlignment="1" applyProtection="1">
      <alignment horizontal="center" vertical="center" wrapText="1"/>
      <protection locked="0"/>
    </xf>
    <xf numFmtId="0" fontId="28" fillId="7" borderId="48" xfId="0" applyFont="1" applyFill="1" applyBorder="1" applyAlignment="1" applyProtection="1">
      <alignment horizontal="center" vertical="center" wrapText="1"/>
      <protection locked="0"/>
    </xf>
    <xf numFmtId="0" fontId="28" fillId="7" borderId="29" xfId="0" applyFont="1" applyFill="1" applyBorder="1" applyAlignment="1" applyProtection="1">
      <alignment horizontal="center" vertical="center" wrapText="1"/>
      <protection locked="0"/>
    </xf>
    <xf numFmtId="0" fontId="28" fillId="7" borderId="0" xfId="0" applyFont="1" applyFill="1" applyAlignment="1" applyProtection="1">
      <alignment horizontal="center" vertical="center" wrapText="1"/>
      <protection locked="0"/>
    </xf>
    <xf numFmtId="0" fontId="28" fillId="6" borderId="22" xfId="0" applyFont="1" applyFill="1" applyBorder="1" applyAlignment="1" applyProtection="1">
      <alignment horizontal="center"/>
      <protection locked="0"/>
    </xf>
    <xf numFmtId="0" fontId="28" fillId="6" borderId="23" xfId="0" applyFont="1" applyFill="1" applyBorder="1" applyAlignment="1" applyProtection="1">
      <alignment horizontal="center"/>
      <protection locked="0"/>
    </xf>
    <xf numFmtId="0" fontId="28" fillId="6" borderId="24" xfId="0" applyFont="1" applyFill="1" applyBorder="1" applyAlignment="1" applyProtection="1">
      <alignment horizontal="center"/>
      <protection locked="0"/>
    </xf>
    <xf numFmtId="0" fontId="38" fillId="7" borderId="1" xfId="0" applyFont="1" applyFill="1" applyBorder="1" applyAlignment="1" applyProtection="1">
      <alignment horizontal="center" vertical="center" wrapText="1"/>
      <protection locked="0"/>
    </xf>
    <xf numFmtId="0" fontId="28" fillId="7" borderId="52" xfId="0" applyFont="1" applyFill="1" applyBorder="1" applyAlignment="1" applyProtection="1">
      <alignment horizontal="center" vertical="center" wrapText="1"/>
      <protection locked="0"/>
    </xf>
    <xf numFmtId="0" fontId="28" fillId="7" borderId="0" xfId="0" applyFont="1" applyFill="1" applyAlignment="1" applyProtection="1">
      <alignment horizontal="center" vertical="center"/>
      <protection locked="0"/>
    </xf>
    <xf numFmtId="0" fontId="38" fillId="7" borderId="66" xfId="0" applyFont="1" applyFill="1" applyBorder="1" applyAlignment="1" applyProtection="1">
      <alignment horizontal="center" vertical="center" wrapText="1"/>
      <protection locked="0"/>
    </xf>
    <xf numFmtId="0" fontId="38" fillId="7" borderId="13" xfId="0" applyFont="1" applyFill="1" applyBorder="1" applyAlignment="1" applyProtection="1">
      <alignment horizontal="center" vertical="center" wrapText="1"/>
      <protection locked="0"/>
    </xf>
    <xf numFmtId="0" fontId="38" fillId="7" borderId="18" xfId="0" applyFont="1" applyFill="1" applyBorder="1" applyAlignment="1" applyProtection="1">
      <alignment horizontal="center" vertical="center" wrapText="1"/>
      <protection locked="0"/>
    </xf>
    <xf numFmtId="0" fontId="6" fillId="7" borderId="1" xfId="0" applyFont="1" applyFill="1" applyBorder="1" applyAlignment="1" applyProtection="1">
      <alignment horizontal="center" vertical="center"/>
      <protection locked="0"/>
    </xf>
    <xf numFmtId="173" fontId="28" fillId="7" borderId="49" xfId="6" applyNumberFormat="1" applyFont="1" applyFill="1" applyBorder="1" applyAlignment="1" applyProtection="1">
      <alignment horizontal="center" vertical="center"/>
      <protection locked="0"/>
    </xf>
    <xf numFmtId="173" fontId="28" fillId="7" borderId="47" xfId="6" applyNumberFormat="1" applyFont="1" applyFill="1" applyBorder="1" applyAlignment="1" applyProtection="1">
      <alignment horizontal="center" vertical="center"/>
      <protection locked="0"/>
    </xf>
    <xf numFmtId="0" fontId="6" fillId="7" borderId="57" xfId="0" applyFont="1" applyFill="1" applyBorder="1" applyAlignment="1" applyProtection="1">
      <alignment horizontal="center" vertical="center"/>
      <protection locked="0"/>
    </xf>
    <xf numFmtId="0" fontId="28" fillId="7" borderId="27" xfId="0" applyFont="1" applyFill="1" applyBorder="1" applyAlignment="1" applyProtection="1">
      <alignment horizontal="center"/>
      <protection locked="0"/>
    </xf>
    <xf numFmtId="0" fontId="28" fillId="7" borderId="54" xfId="0" applyFont="1" applyFill="1" applyBorder="1" applyAlignment="1" applyProtection="1">
      <alignment horizontal="center"/>
      <protection locked="0"/>
    </xf>
    <xf numFmtId="0" fontId="6" fillId="0" borderId="1" xfId="0" applyFont="1" applyBorder="1" applyAlignment="1" applyProtection="1">
      <alignment horizontal="center"/>
      <protection locked="0"/>
    </xf>
    <xf numFmtId="0" fontId="28" fillId="6" borderId="1" xfId="0" applyFont="1" applyFill="1" applyBorder="1" applyAlignment="1" applyProtection="1">
      <alignment horizontal="center" vertical="center" wrapText="1"/>
      <protection locked="0"/>
    </xf>
    <xf numFmtId="173" fontId="9" fillId="5" borderId="58" xfId="6" applyNumberFormat="1" applyFont="1" applyFill="1" applyBorder="1" applyAlignment="1" applyProtection="1">
      <alignment horizontal="center" vertical="center"/>
      <protection locked="0"/>
    </xf>
    <xf numFmtId="173" fontId="9" fillId="5" borderId="56" xfId="6" applyNumberFormat="1" applyFont="1" applyFill="1" applyBorder="1" applyAlignment="1" applyProtection="1">
      <alignment horizontal="center" vertical="center"/>
      <protection locked="0"/>
    </xf>
    <xf numFmtId="173" fontId="9" fillId="5" borderId="21" xfId="6" applyNumberFormat="1" applyFont="1" applyFill="1" applyBorder="1" applyAlignment="1" applyProtection="1">
      <alignment horizontal="center" vertical="center"/>
      <protection locked="0"/>
    </xf>
    <xf numFmtId="173" fontId="9" fillId="5" borderId="46" xfId="6" applyNumberFormat="1" applyFont="1" applyFill="1" applyBorder="1" applyAlignment="1" applyProtection="1">
      <alignment horizontal="center" vertical="center"/>
      <protection locked="0"/>
    </xf>
    <xf numFmtId="0" fontId="28" fillId="6" borderId="33" xfId="0" applyFont="1" applyFill="1" applyBorder="1" applyAlignment="1" applyProtection="1">
      <alignment horizontal="center" vertical="center"/>
      <protection locked="0"/>
    </xf>
    <xf numFmtId="0" fontId="28" fillId="6" borderId="0" xfId="0" applyFont="1" applyFill="1" applyAlignment="1" applyProtection="1">
      <alignment horizontal="center" vertical="center"/>
      <protection locked="0"/>
    </xf>
    <xf numFmtId="0" fontId="28" fillId="6" borderId="37" xfId="0" applyFont="1" applyFill="1" applyBorder="1" applyAlignment="1" applyProtection="1">
      <alignment horizontal="center" vertical="center"/>
      <protection locked="0"/>
    </xf>
    <xf numFmtId="0" fontId="28" fillId="6" borderId="38" xfId="0" applyFont="1" applyFill="1" applyBorder="1" applyAlignment="1" applyProtection="1">
      <alignment horizontal="center" vertical="center"/>
      <protection locked="0"/>
    </xf>
    <xf numFmtId="0" fontId="28" fillId="6" borderId="39" xfId="0" applyFont="1" applyFill="1" applyBorder="1" applyAlignment="1" applyProtection="1">
      <alignment horizontal="center" vertical="center"/>
      <protection locked="0"/>
    </xf>
    <xf numFmtId="0" fontId="28" fillId="6" borderId="26" xfId="0" applyFont="1" applyFill="1" applyBorder="1" applyAlignment="1" applyProtection="1">
      <alignment horizontal="center" vertical="center"/>
      <protection locked="0"/>
    </xf>
    <xf numFmtId="0" fontId="28" fillId="6" borderId="69" xfId="0" applyFont="1" applyFill="1" applyBorder="1" applyAlignment="1" applyProtection="1">
      <alignment horizontal="center" vertical="center"/>
      <protection locked="0"/>
    </xf>
    <xf numFmtId="0" fontId="28" fillId="6" borderId="54" xfId="0" applyFont="1" applyFill="1" applyBorder="1" applyAlignment="1" applyProtection="1">
      <alignment horizontal="center" vertical="center"/>
      <protection locked="0"/>
    </xf>
    <xf numFmtId="0" fontId="6" fillId="7" borderId="65" xfId="0" applyFont="1" applyFill="1" applyBorder="1" applyAlignment="1" applyProtection="1">
      <alignment horizontal="center" vertical="center"/>
      <protection locked="0"/>
    </xf>
    <xf numFmtId="0" fontId="6" fillId="7" borderId="64" xfId="0" applyFont="1" applyFill="1" applyBorder="1" applyAlignment="1" applyProtection="1">
      <alignment horizontal="center" vertical="center"/>
      <protection locked="0"/>
    </xf>
    <xf numFmtId="0" fontId="28" fillId="8" borderId="38" xfId="0" applyFont="1" applyFill="1" applyBorder="1" applyAlignment="1" applyProtection="1">
      <alignment horizontal="center" vertical="center"/>
      <protection locked="0"/>
    </xf>
    <xf numFmtId="0" fontId="28" fillId="8" borderId="39" xfId="0" applyFont="1" applyFill="1" applyBorder="1" applyAlignment="1" applyProtection="1">
      <alignment horizontal="center" vertical="center"/>
      <protection locked="0"/>
    </xf>
    <xf numFmtId="0" fontId="28" fillId="8" borderId="26" xfId="0" applyFont="1" applyFill="1" applyBorder="1" applyAlignment="1" applyProtection="1">
      <alignment horizontal="center" vertical="center"/>
      <protection locked="0"/>
    </xf>
    <xf numFmtId="0" fontId="6" fillId="7" borderId="63" xfId="0" applyFont="1" applyFill="1" applyBorder="1" applyAlignment="1" applyProtection="1">
      <alignment horizontal="center" vertical="center"/>
      <protection locked="0"/>
    </xf>
    <xf numFmtId="0" fontId="28" fillId="7" borderId="22" xfId="0" applyFont="1" applyFill="1" applyBorder="1" applyAlignment="1" applyProtection="1">
      <alignment horizontal="center"/>
      <protection locked="0"/>
    </xf>
    <xf numFmtId="0" fontId="28" fillId="7" borderId="55" xfId="0" applyFont="1" applyFill="1" applyBorder="1" applyAlignment="1" applyProtection="1">
      <alignment horizontal="center"/>
      <protection locked="0"/>
    </xf>
    <xf numFmtId="0" fontId="40" fillId="6" borderId="1" xfId="0" applyFont="1" applyFill="1" applyBorder="1" applyAlignment="1">
      <alignment horizontal="center" vertical="center" wrapText="1"/>
    </xf>
    <xf numFmtId="0" fontId="40" fillId="12" borderId="1" xfId="0" applyFont="1" applyFill="1" applyBorder="1" applyAlignment="1">
      <alignment horizontal="center" vertical="center" wrapText="1"/>
    </xf>
    <xf numFmtId="0" fontId="33" fillId="6" borderId="22" xfId="0" applyFont="1" applyFill="1" applyBorder="1" applyAlignment="1" applyProtection="1">
      <alignment horizontal="center"/>
      <protection locked="0"/>
    </xf>
    <xf numFmtId="0" fontId="33" fillId="6" borderId="23" xfId="0" applyFont="1" applyFill="1" applyBorder="1" applyAlignment="1" applyProtection="1">
      <alignment horizontal="center"/>
      <protection locked="0"/>
    </xf>
    <xf numFmtId="0" fontId="33" fillId="6" borderId="24" xfId="0" applyFont="1" applyFill="1" applyBorder="1" applyAlignment="1" applyProtection="1">
      <alignment horizontal="center"/>
      <protection locked="0"/>
    </xf>
    <xf numFmtId="0" fontId="20" fillId="0" borderId="39" xfId="0" applyFont="1" applyBorder="1" applyAlignment="1" applyProtection="1">
      <alignment horizontal="center" vertical="center" wrapText="1"/>
      <protection locked="0"/>
    </xf>
    <xf numFmtId="0" fontId="31" fillId="0" borderId="22" xfId="0" applyFont="1" applyBorder="1" applyAlignment="1" applyProtection="1">
      <alignment horizontal="center"/>
      <protection locked="0"/>
    </xf>
    <xf numFmtId="0" fontId="31" fillId="0" borderId="23" xfId="0" applyFont="1" applyBorder="1" applyAlignment="1" applyProtection="1">
      <alignment horizontal="center"/>
      <protection locked="0"/>
    </xf>
    <xf numFmtId="0" fontId="31" fillId="0" borderId="24" xfId="0" applyFont="1" applyBorder="1" applyAlignment="1" applyProtection="1">
      <alignment horizontal="center"/>
      <protection locked="0"/>
    </xf>
    <xf numFmtId="0" fontId="33" fillId="6" borderId="27" xfId="0" applyFont="1" applyFill="1" applyBorder="1" applyAlignment="1" applyProtection="1">
      <alignment horizontal="center" vertical="center" wrapText="1"/>
      <protection locked="0"/>
    </xf>
    <xf numFmtId="0" fontId="33" fillId="6" borderId="28" xfId="0" applyFont="1" applyFill="1" applyBorder="1" applyAlignment="1" applyProtection="1">
      <alignment horizontal="center" vertical="center" wrapText="1"/>
      <protection locked="0"/>
    </xf>
    <xf numFmtId="0" fontId="33" fillId="6" borderId="29" xfId="0" applyFont="1" applyFill="1" applyBorder="1" applyAlignment="1" applyProtection="1">
      <alignment horizontal="center" vertical="center" wrapText="1"/>
      <protection locked="0"/>
    </xf>
    <xf numFmtId="0" fontId="33" fillId="6" borderId="38" xfId="0" applyFont="1" applyFill="1" applyBorder="1" applyAlignment="1" applyProtection="1">
      <alignment horizontal="center" vertical="center" wrapText="1"/>
      <protection locked="0"/>
    </xf>
    <xf numFmtId="0" fontId="33" fillId="6" borderId="39" xfId="0" applyFont="1" applyFill="1" applyBorder="1" applyAlignment="1" applyProtection="1">
      <alignment horizontal="center" vertical="center" wrapText="1"/>
      <protection locked="0"/>
    </xf>
    <xf numFmtId="0" fontId="33" fillId="6" borderId="26" xfId="0" applyFont="1" applyFill="1" applyBorder="1" applyAlignment="1" applyProtection="1">
      <alignment horizontal="center" vertical="center" wrapText="1"/>
      <protection locked="0"/>
    </xf>
    <xf numFmtId="0" fontId="33" fillId="6" borderId="22" xfId="0" applyFont="1" applyFill="1" applyBorder="1" applyAlignment="1" applyProtection="1">
      <alignment horizontal="center" vertical="center"/>
      <protection locked="0"/>
    </xf>
    <xf numFmtId="0" fontId="33" fillId="6" borderId="23" xfId="0" applyFont="1" applyFill="1" applyBorder="1" applyAlignment="1" applyProtection="1">
      <alignment horizontal="center" vertical="center"/>
      <protection locked="0"/>
    </xf>
    <xf numFmtId="0" fontId="33" fillId="6" borderId="24" xfId="0" applyFont="1" applyFill="1" applyBorder="1" applyAlignment="1" applyProtection="1">
      <alignment horizontal="center" vertical="center"/>
      <protection locked="0"/>
    </xf>
    <xf numFmtId="0" fontId="33" fillId="6" borderId="27" xfId="0" applyFont="1" applyFill="1" applyBorder="1" applyAlignment="1" applyProtection="1">
      <alignment horizontal="center" vertical="center"/>
      <protection locked="0"/>
    </xf>
    <xf numFmtId="0" fontId="33" fillId="6" borderId="28" xfId="0" applyFont="1" applyFill="1" applyBorder="1" applyAlignment="1" applyProtection="1">
      <alignment horizontal="center" vertical="center"/>
      <protection locked="0"/>
    </xf>
    <xf numFmtId="0" fontId="33" fillId="6" borderId="29" xfId="0" applyFont="1" applyFill="1" applyBorder="1" applyAlignment="1" applyProtection="1">
      <alignment horizontal="center" vertical="center"/>
      <protection locked="0"/>
    </xf>
    <xf numFmtId="0" fontId="33" fillId="6" borderId="33" xfId="0" applyFont="1" applyFill="1" applyBorder="1" applyAlignment="1" applyProtection="1">
      <alignment horizontal="center" vertical="center"/>
      <protection locked="0"/>
    </xf>
    <xf numFmtId="0" fontId="33" fillId="6" borderId="0" xfId="0" applyFont="1" applyFill="1" applyAlignment="1" applyProtection="1">
      <alignment horizontal="center" vertical="center"/>
      <protection locked="0"/>
    </xf>
    <xf numFmtId="0" fontId="33" fillId="6" borderId="37" xfId="0" applyFont="1" applyFill="1" applyBorder="1" applyAlignment="1" applyProtection="1">
      <alignment horizontal="center" vertical="center"/>
      <protection locked="0"/>
    </xf>
    <xf numFmtId="0" fontId="33" fillId="6" borderId="38" xfId="0" applyFont="1" applyFill="1" applyBorder="1" applyAlignment="1" applyProtection="1">
      <alignment horizontal="center" vertical="center"/>
      <protection locked="0"/>
    </xf>
    <xf numFmtId="0" fontId="33" fillId="6" borderId="39" xfId="0" applyFont="1" applyFill="1" applyBorder="1" applyAlignment="1" applyProtection="1">
      <alignment horizontal="center" vertical="center"/>
      <protection locked="0"/>
    </xf>
    <xf numFmtId="0" fontId="33" fillId="6" borderId="26" xfId="0" applyFont="1" applyFill="1" applyBorder="1" applyAlignment="1" applyProtection="1">
      <alignment horizontal="center" vertical="center"/>
      <protection locked="0"/>
    </xf>
    <xf numFmtId="0" fontId="31" fillId="0" borderId="65" xfId="0" applyFont="1" applyBorder="1" applyAlignment="1" applyProtection="1">
      <alignment horizontal="center" vertical="center"/>
      <protection locked="0"/>
    </xf>
    <xf numFmtId="0" fontId="31" fillId="0" borderId="64" xfId="0" applyFont="1" applyBorder="1" applyAlignment="1" applyProtection="1">
      <alignment horizontal="center" vertical="center"/>
      <protection locked="0"/>
    </xf>
    <xf numFmtId="0" fontId="31" fillId="0" borderId="28" xfId="0" applyFont="1" applyBorder="1" applyAlignment="1" applyProtection="1">
      <alignment horizontal="center" vertical="center"/>
      <protection locked="0"/>
    </xf>
    <xf numFmtId="0" fontId="31" fillId="0" borderId="29" xfId="0" applyFont="1" applyBorder="1" applyAlignment="1" applyProtection="1">
      <alignment horizontal="center" vertical="center"/>
      <protection locked="0"/>
    </xf>
    <xf numFmtId="0" fontId="33" fillId="8" borderId="22" xfId="0" applyFont="1" applyFill="1" applyBorder="1" applyAlignment="1" applyProtection="1">
      <alignment horizontal="center" vertical="center"/>
      <protection locked="0"/>
    </xf>
    <xf numFmtId="0" fontId="33" fillId="8" borderId="23" xfId="0" applyFont="1" applyFill="1" applyBorder="1" applyAlignment="1" applyProtection="1">
      <alignment horizontal="center" vertical="center"/>
      <protection locked="0"/>
    </xf>
    <xf numFmtId="0" fontId="33" fillId="8" borderId="24" xfId="0" applyFont="1" applyFill="1" applyBorder="1" applyAlignment="1" applyProtection="1">
      <alignment horizontal="center" vertical="center"/>
      <protection locked="0"/>
    </xf>
    <xf numFmtId="0" fontId="31" fillId="7" borderId="63" xfId="0" applyFont="1" applyFill="1" applyBorder="1" applyAlignment="1" applyProtection="1">
      <alignment horizontal="center" vertical="center"/>
      <protection locked="0"/>
    </xf>
    <xf numFmtId="0" fontId="31" fillId="7" borderId="38" xfId="0" applyFont="1" applyFill="1" applyBorder="1" applyAlignment="1" applyProtection="1">
      <alignment horizontal="center" vertical="center"/>
      <protection locked="0"/>
    </xf>
    <xf numFmtId="0" fontId="33" fillId="7" borderId="22" xfId="0" applyFont="1" applyFill="1" applyBorder="1" applyAlignment="1" applyProtection="1">
      <alignment horizontal="center"/>
      <protection locked="0"/>
    </xf>
    <xf numFmtId="0" fontId="33" fillId="7" borderId="55" xfId="0" applyFont="1" applyFill="1" applyBorder="1" applyAlignment="1" applyProtection="1">
      <alignment horizontal="center"/>
      <protection locked="0"/>
    </xf>
    <xf numFmtId="0" fontId="33" fillId="6" borderId="22" xfId="0" applyFont="1" applyFill="1" applyBorder="1" applyAlignment="1" applyProtection="1">
      <alignment horizontal="center" vertical="center" wrapText="1"/>
      <protection locked="0"/>
    </xf>
    <xf numFmtId="0" fontId="33" fillId="6" borderId="23" xfId="0" applyFont="1" applyFill="1" applyBorder="1" applyAlignment="1" applyProtection="1">
      <alignment horizontal="center" vertical="center" wrapText="1"/>
      <protection locked="0"/>
    </xf>
    <xf numFmtId="0" fontId="33" fillId="6" borderId="24" xfId="0" applyFont="1" applyFill="1" applyBorder="1" applyAlignment="1" applyProtection="1">
      <alignment horizontal="center" vertical="center" wrapText="1"/>
      <protection locked="0"/>
    </xf>
    <xf numFmtId="0" fontId="31" fillId="5" borderId="11" xfId="0" applyFont="1" applyFill="1" applyBorder="1" applyAlignment="1" applyProtection="1">
      <alignment horizontal="center" vertical="center"/>
      <protection locked="0"/>
    </xf>
    <xf numFmtId="0" fontId="31" fillId="5" borderId="57" xfId="0" applyFont="1" applyFill="1" applyBorder="1" applyAlignment="1" applyProtection="1">
      <alignment horizontal="center" vertical="center"/>
      <protection locked="0"/>
    </xf>
    <xf numFmtId="0" fontId="31" fillId="5" borderId="25" xfId="0" applyFont="1" applyFill="1" applyBorder="1" applyAlignment="1" applyProtection="1">
      <alignment horizontal="center" vertical="center"/>
      <protection locked="0"/>
    </xf>
    <xf numFmtId="0" fontId="31" fillId="0" borderId="60" xfId="0" applyFont="1" applyBorder="1" applyAlignment="1">
      <alignment horizontal="center" vertical="center"/>
    </xf>
    <xf numFmtId="0" fontId="31" fillId="0" borderId="59" xfId="0" applyFont="1" applyBorder="1" applyAlignment="1">
      <alignment horizontal="center" vertical="center"/>
    </xf>
    <xf numFmtId="0" fontId="33" fillId="5" borderId="22" xfId="0" applyFont="1" applyFill="1" applyBorder="1" applyAlignment="1" applyProtection="1">
      <alignment horizontal="center"/>
      <protection locked="0"/>
    </xf>
    <xf numFmtId="0" fontId="33" fillId="5" borderId="55" xfId="0" applyFont="1" applyFill="1" applyBorder="1" applyAlignment="1" applyProtection="1">
      <alignment horizontal="center"/>
      <protection locked="0"/>
    </xf>
    <xf numFmtId="0" fontId="17" fillId="0" borderId="23" xfId="0" applyFont="1" applyBorder="1" applyAlignment="1" applyProtection="1">
      <alignment horizontal="center" vertical="center" wrapText="1"/>
      <protection locked="0"/>
    </xf>
    <xf numFmtId="0" fontId="32" fillId="0" borderId="27" xfId="0" applyFont="1" applyBorder="1" applyAlignment="1" applyProtection="1">
      <alignment horizontal="center" vertical="center" wrapText="1"/>
      <protection locked="0"/>
    </xf>
    <xf numFmtId="0" fontId="32" fillId="0" borderId="28" xfId="0" applyFont="1" applyBorder="1" applyAlignment="1" applyProtection="1">
      <alignment horizontal="center" vertical="center" wrapText="1"/>
      <protection locked="0"/>
    </xf>
    <xf numFmtId="0" fontId="32" fillId="0" borderId="54" xfId="0" applyFont="1" applyBorder="1" applyAlignment="1" applyProtection="1">
      <alignment horizontal="center" vertical="center" wrapText="1"/>
      <protection locked="0"/>
    </xf>
    <xf numFmtId="0" fontId="32" fillId="0" borderId="38" xfId="0" applyFont="1" applyBorder="1" applyAlignment="1" applyProtection="1">
      <alignment horizontal="center" vertical="center" wrapText="1"/>
      <protection locked="0"/>
    </xf>
    <xf numFmtId="0" fontId="32" fillId="0" borderId="39" xfId="0" applyFont="1" applyBorder="1" applyAlignment="1" applyProtection="1">
      <alignment horizontal="center" vertical="center" wrapText="1"/>
      <protection locked="0"/>
    </xf>
    <xf numFmtId="0" fontId="32" fillId="0" borderId="53" xfId="0" applyFont="1" applyBorder="1" applyAlignment="1" applyProtection="1">
      <alignment horizontal="center" vertical="center" wrapText="1"/>
      <protection locked="0"/>
    </xf>
    <xf numFmtId="0" fontId="31" fillId="0" borderId="27" xfId="0" applyFont="1" applyBorder="1" applyAlignment="1" applyProtection="1">
      <alignment horizontal="center" vertical="center"/>
      <protection locked="0"/>
    </xf>
    <xf numFmtId="0" fontId="31" fillId="0" borderId="38" xfId="0" applyFont="1" applyBorder="1" applyAlignment="1" applyProtection="1">
      <alignment horizontal="center" vertical="center"/>
      <protection locked="0"/>
    </xf>
    <xf numFmtId="0" fontId="32" fillId="0" borderId="52" xfId="0" applyFont="1" applyBorder="1" applyAlignment="1" applyProtection="1">
      <alignment horizontal="center" vertical="center" wrapText="1"/>
      <protection locked="0"/>
    </xf>
    <xf numFmtId="0" fontId="32" fillId="0" borderId="48" xfId="0" applyFont="1" applyBorder="1" applyAlignment="1" applyProtection="1">
      <alignment horizontal="center" vertical="center" wrapText="1"/>
      <protection locked="0"/>
    </xf>
    <xf numFmtId="0" fontId="32" fillId="0" borderId="23" xfId="0" applyFont="1" applyBorder="1" applyAlignment="1" applyProtection="1">
      <alignment horizontal="center" vertical="center" wrapText="1"/>
      <protection locked="0"/>
    </xf>
    <xf numFmtId="0" fontId="17" fillId="0" borderId="39" xfId="0" applyFont="1" applyBorder="1" applyAlignment="1" applyProtection="1">
      <alignment horizontal="center" vertical="center" wrapText="1"/>
      <protection locked="0"/>
    </xf>
    <xf numFmtId="0" fontId="31" fillId="0" borderId="33" xfId="0" applyFont="1" applyBorder="1" applyAlignment="1" applyProtection="1">
      <alignment horizontal="center" vertical="center"/>
      <protection locked="0"/>
    </xf>
    <xf numFmtId="0" fontId="17" fillId="0" borderId="0" xfId="0" applyFont="1" applyAlignment="1" applyProtection="1">
      <alignment horizontal="center" vertical="center" wrapText="1"/>
      <protection locked="0"/>
    </xf>
    <xf numFmtId="0" fontId="20" fillId="0" borderId="23" xfId="0" applyFont="1" applyBorder="1" applyAlignment="1" applyProtection="1">
      <alignment horizontal="center" vertical="center" wrapText="1"/>
      <protection locked="0"/>
    </xf>
    <xf numFmtId="0" fontId="20" fillId="0" borderId="23" xfId="0" applyFont="1" applyBorder="1" applyAlignment="1" applyProtection="1">
      <alignment horizontal="center" vertical="center"/>
      <protection locked="0"/>
    </xf>
    <xf numFmtId="0" fontId="32" fillId="0" borderId="23" xfId="0" applyFont="1" applyBorder="1" applyAlignment="1" applyProtection="1">
      <alignment horizontal="center" vertical="center"/>
      <protection locked="0"/>
    </xf>
    <xf numFmtId="0" fontId="20" fillId="0" borderId="28" xfId="0" applyFont="1" applyBorder="1" applyAlignment="1" applyProtection="1">
      <alignment horizontal="center" vertical="center" wrapText="1"/>
      <protection locked="0"/>
    </xf>
    <xf numFmtId="0" fontId="20" fillId="0" borderId="28" xfId="0" applyFont="1" applyBorder="1" applyAlignment="1" applyProtection="1">
      <alignment horizontal="center" vertical="center"/>
      <protection locked="0"/>
    </xf>
    <xf numFmtId="0" fontId="20" fillId="0" borderId="0" xfId="0" applyFont="1" applyAlignment="1" applyProtection="1">
      <alignment horizontal="center" vertical="center" wrapText="1"/>
      <protection locked="0"/>
    </xf>
    <xf numFmtId="0" fontId="20" fillId="0" borderId="0" xfId="0" applyFont="1" applyAlignment="1" applyProtection="1">
      <alignment horizontal="center" vertical="center"/>
      <protection locked="0"/>
    </xf>
    <xf numFmtId="0" fontId="17" fillId="0" borderId="39" xfId="0" applyFont="1" applyBorder="1" applyAlignment="1" applyProtection="1">
      <alignment horizontal="center" vertical="center"/>
      <protection locked="0"/>
    </xf>
    <xf numFmtId="0" fontId="17" fillId="0" borderId="23" xfId="0" applyFont="1" applyBorder="1" applyAlignment="1" applyProtection="1">
      <alignment horizontal="center" vertical="center"/>
      <protection locked="0"/>
    </xf>
    <xf numFmtId="0" fontId="20" fillId="0" borderId="42" xfId="0" applyFont="1" applyBorder="1" applyAlignment="1" applyProtection="1">
      <alignment horizontal="center" vertical="center" wrapText="1"/>
      <protection locked="0"/>
    </xf>
    <xf numFmtId="0" fontId="20" fillId="0" borderId="3" xfId="0" applyFont="1" applyBorder="1" applyAlignment="1" applyProtection="1">
      <alignment horizontal="center" vertical="center" wrapText="1"/>
      <protection locked="0"/>
    </xf>
    <xf numFmtId="0" fontId="20" fillId="0" borderId="49" xfId="0" applyFont="1" applyBorder="1" applyAlignment="1" applyProtection="1">
      <alignment horizontal="center" vertical="center" wrapText="1"/>
      <protection locked="0"/>
    </xf>
    <xf numFmtId="0" fontId="20" fillId="0" borderId="48" xfId="0" applyFont="1" applyBorder="1" applyAlignment="1" applyProtection="1">
      <alignment horizontal="center" vertical="center" wrapText="1"/>
      <protection locked="0"/>
    </xf>
    <xf numFmtId="0" fontId="17" fillId="0" borderId="28" xfId="0" applyFont="1" applyBorder="1" applyAlignment="1" applyProtection="1">
      <alignment horizontal="center" vertical="center" wrapText="1"/>
      <protection locked="0"/>
    </xf>
    <xf numFmtId="0" fontId="17" fillId="0" borderId="29" xfId="0" applyFont="1" applyBorder="1" applyAlignment="1" applyProtection="1">
      <alignment horizontal="center" vertical="center" wrapText="1"/>
      <protection locked="0"/>
    </xf>
    <xf numFmtId="0" fontId="17" fillId="0" borderId="24" xfId="0" applyFont="1" applyBorder="1" applyAlignment="1" applyProtection="1">
      <alignment horizontal="center" vertical="center" wrapText="1"/>
      <protection locked="0"/>
    </xf>
    <xf numFmtId="0" fontId="32" fillId="0" borderId="39" xfId="0" applyFont="1" applyBorder="1" applyAlignment="1" applyProtection="1">
      <alignment horizontal="center" vertical="center"/>
      <protection locked="0"/>
    </xf>
    <xf numFmtId="0" fontId="20" fillId="0" borderId="39" xfId="0" applyFont="1" applyBorder="1" applyAlignment="1" applyProtection="1">
      <alignment horizontal="center" vertical="center"/>
      <protection locked="0"/>
    </xf>
    <xf numFmtId="0" fontId="31" fillId="0" borderId="28" xfId="0" applyFont="1" applyBorder="1" applyAlignment="1" applyProtection="1">
      <alignment horizontal="center" vertical="center" wrapText="1"/>
      <protection locked="0"/>
    </xf>
    <xf numFmtId="173" fontId="20" fillId="0" borderId="29" xfId="6" applyNumberFormat="1" applyFont="1" applyBorder="1" applyAlignment="1" applyProtection="1">
      <alignment horizontal="center" vertical="center"/>
      <protection locked="0"/>
    </xf>
    <xf numFmtId="173" fontId="20" fillId="0" borderId="26" xfId="6" applyNumberFormat="1" applyFont="1" applyBorder="1" applyAlignment="1" applyProtection="1">
      <alignment horizontal="center" vertical="center"/>
      <protection locked="0"/>
    </xf>
    <xf numFmtId="0" fontId="34" fillId="0" borderId="39" xfId="0" applyFont="1" applyBorder="1" applyAlignment="1" applyProtection="1">
      <alignment horizontal="center" vertical="center" wrapText="1"/>
      <protection locked="0"/>
    </xf>
    <xf numFmtId="0" fontId="5" fillId="0" borderId="1" xfId="0" applyFont="1" applyBorder="1" applyAlignment="1">
      <alignment horizontal="center" vertical="center" wrapText="1"/>
    </xf>
    <xf numFmtId="0" fontId="6" fillId="0" borderId="0" xfId="0" applyFont="1" applyAlignment="1">
      <alignment horizontal="center" vertical="center" wrapText="1"/>
    </xf>
    <xf numFmtId="44" fontId="9" fillId="0" borderId="37" xfId="6" applyNumberFormat="1" applyFont="1" applyFill="1" applyBorder="1" applyAlignment="1" applyProtection="1">
      <alignment vertical="center"/>
    </xf>
    <xf numFmtId="0" fontId="11" fillId="0" borderId="1" xfId="0" applyFont="1" applyBorder="1" applyAlignment="1">
      <alignment horizontal="center" vertical="center" wrapText="1"/>
    </xf>
    <xf numFmtId="0" fontId="0" fillId="0" borderId="1" xfId="0" applyBorder="1" applyAlignment="1">
      <alignment vertical="center" wrapText="1"/>
    </xf>
    <xf numFmtId="0" fontId="11" fillId="0" borderId="1" xfId="0" applyFont="1" applyBorder="1" applyAlignment="1">
      <alignment wrapText="1"/>
    </xf>
    <xf numFmtId="0" fontId="0" fillId="0" borderId="1" xfId="0" applyFill="1" applyBorder="1" applyAlignment="1">
      <alignment vertical="center" wrapText="1"/>
    </xf>
    <xf numFmtId="2" fontId="11" fillId="0" borderId="1" xfId="0" applyNumberFormat="1" applyFont="1" applyBorder="1" applyAlignment="1">
      <alignment horizontal="center" vertical="center" wrapText="1"/>
    </xf>
    <xf numFmtId="2" fontId="8" fillId="5" borderId="1" xfId="6" applyNumberFormat="1" applyFont="1" applyFill="1" applyBorder="1" applyAlignment="1" applyProtection="1">
      <alignment vertical="center"/>
      <protection locked="0"/>
    </xf>
    <xf numFmtId="2" fontId="0" fillId="0" borderId="1" xfId="2" applyNumberFormat="1" applyFont="1" applyBorder="1"/>
    <xf numFmtId="2" fontId="0" fillId="0" borderId="0" xfId="0" applyNumberFormat="1"/>
    <xf numFmtId="0" fontId="0" fillId="0" borderId="1" xfId="0" applyFont="1" applyBorder="1" applyAlignment="1">
      <alignment vertical="center" wrapText="1"/>
    </xf>
    <xf numFmtId="0" fontId="0" fillId="0" borderId="0" xfId="0" applyFont="1" applyAlignment="1">
      <alignment vertical="center"/>
    </xf>
    <xf numFmtId="0" fontId="0" fillId="0" borderId="0" xfId="0" applyFont="1" applyFill="1" applyBorder="1" applyAlignment="1">
      <alignment vertical="center" wrapText="1"/>
    </xf>
  </cellXfs>
  <cellStyles count="7">
    <cellStyle name="Excel Built-in Normal" xfId="1"/>
    <cellStyle name="Millares" xfId="3" builtinId="3"/>
    <cellStyle name="Millares 2" xfId="4"/>
    <cellStyle name="Moneda" xfId="2" builtinId="4"/>
    <cellStyle name="Moneda 2" xfId="6"/>
    <cellStyle name="Normal" xfId="0" builtinId="0"/>
    <cellStyle name="Porcentaje" xfId="5"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ctrlProps/ctrlProp1.xml><?xml version="1.0" encoding="utf-8"?>
<formControlPr xmlns="http://schemas.microsoft.com/office/spreadsheetml/2009/9/main" objectType="CheckBox" checked="Checked" fmlaLink="$G$22" lockText="1" noThreeD="1"/>
</file>

<file path=xl/ctrlProps/ctrlProp2.xml><?xml version="1.0" encoding="utf-8"?>
<formControlPr xmlns="http://schemas.microsoft.com/office/spreadsheetml/2009/9/main" objectType="CheckBox" checked="Checked" fmlaLink="$G$23" lockText="1" noThreeD="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419100</xdr:colOff>
          <xdr:row>21</xdr:row>
          <xdr:rowOff>0</xdr:rowOff>
        </xdr:from>
        <xdr:to>
          <xdr:col>6</xdr:col>
          <xdr:colOff>1819275</xdr:colOff>
          <xdr:row>22</xdr:row>
          <xdr:rowOff>19050</xdr:rowOff>
        </xdr:to>
        <xdr:sp macro="" textlink="">
          <xdr:nvSpPr>
            <xdr:cNvPr id="1026" name="Check Box 2" hidden="1">
              <a:extLst>
                <a:ext uri="{63B3BB69-23CF-44E3-9099-C40C66FF867C}">
                  <a14:compatExt spid="_x0000_s1026"/>
                </a:ext>
                <a:ext uri="{FF2B5EF4-FFF2-40B4-BE49-F238E27FC236}">
                  <a16:creationId xmlns:a16="http://schemas.microsoft.com/office/drawing/2014/main" id="{00000000-0008-0000-0F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12700">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¿Se presentan gananciales?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419100</xdr:colOff>
          <xdr:row>22</xdr:row>
          <xdr:rowOff>66675</xdr:rowOff>
        </xdr:from>
        <xdr:to>
          <xdr:col>7</xdr:col>
          <xdr:colOff>504825</xdr:colOff>
          <xdr:row>22</xdr:row>
          <xdr:rowOff>485775</xdr:rowOff>
        </xdr:to>
        <xdr:sp macro="" textlink="">
          <xdr:nvSpPr>
            <xdr:cNvPr id="1027" name="Check Box 3" hidden="1">
              <a:extLst>
                <a:ext uri="{63B3BB69-23CF-44E3-9099-C40C66FF867C}">
                  <a14:compatExt spid="_x0000_s1027"/>
                </a:ext>
                <a:ext uri="{FF2B5EF4-FFF2-40B4-BE49-F238E27FC236}">
                  <a16:creationId xmlns:a16="http://schemas.microsoft.com/office/drawing/2014/main" id="{00000000-0008-0000-0F00-00000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C00000"/>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¿Se presentan entidades públicas?</a:t>
              </a:r>
            </a:p>
          </xdr:txBody>
        </xdr:sp>
        <xdr:clientData/>
      </xdr:twoCellAnchor>
    </mc:Choice>
    <mc:Fallback/>
  </mc:AlternateContent>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2.bin"/><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Views>
    <sheetView workbookViewId="0">
      <selection activeCell="C5" sqref="C5"/>
    </sheetView>
  </sheetViews>
  <sheetFormatPr baseColWidth="10" defaultRowHeight="15"/>
  <cols>
    <col min="2" max="2" width="16.28515625" customWidth="1"/>
    <col min="4" max="4" width="13.7109375" bestFit="1" customWidth="1"/>
    <col min="5" max="5" width="14.28515625" bestFit="1" customWidth="1"/>
  </cols>
  <sheetData>
    <row r="1" spans="1:5">
      <c r="A1">
        <v>2025</v>
      </c>
      <c r="B1">
        <v>5</v>
      </c>
    </row>
    <row r="2" spans="1:5">
      <c r="B2" s="537" t="s">
        <v>336</v>
      </c>
      <c r="C2" s="537"/>
      <c r="D2" s="29"/>
      <c r="E2" s="29"/>
    </row>
    <row r="3" spans="1:5">
      <c r="B3" s="29" t="s">
        <v>337</v>
      </c>
      <c r="C3" s="29" t="s">
        <v>338</v>
      </c>
      <c r="D3" s="29" t="s">
        <v>334</v>
      </c>
      <c r="E3" s="29" t="s">
        <v>335</v>
      </c>
    </row>
    <row r="4" spans="1:5">
      <c r="B4" s="106">
        <v>45909</v>
      </c>
      <c r="C4" s="106">
        <v>46010</v>
      </c>
      <c r="D4" s="29">
        <f>_xlfn.DAYS(C4,B4)</f>
        <v>101</v>
      </c>
      <c r="E4" s="105">
        <f>D4/365</f>
        <v>0.27671232876712326</v>
      </c>
    </row>
    <row r="6" spans="1:5">
      <c r="B6" s="107"/>
    </row>
    <row r="7" spans="1:5">
      <c r="B7" s="107"/>
    </row>
    <row r="8" spans="1:5">
      <c r="B8" s="107"/>
    </row>
    <row r="9" spans="1:5">
      <c r="B9" s="107"/>
    </row>
    <row r="10" spans="1:5">
      <c r="B10" s="107"/>
    </row>
    <row r="11" spans="1:5">
      <c r="B11" s="107"/>
    </row>
    <row r="12" spans="1:5">
      <c r="B12" s="107"/>
    </row>
    <row r="13" spans="1:5">
      <c r="B13" s="107"/>
    </row>
    <row r="14" spans="1:5">
      <c r="B14" s="107"/>
    </row>
    <row r="15" spans="1:5">
      <c r="B15" s="107"/>
    </row>
    <row r="16" spans="1:5">
      <c r="B16" s="107"/>
    </row>
    <row r="17" spans="2:2">
      <c r="B17" s="107"/>
    </row>
    <row r="18" spans="2:2">
      <c r="B18" s="107"/>
    </row>
    <row r="19" spans="2:2">
      <c r="B19" s="107"/>
    </row>
    <row r="20" spans="2:2">
      <c r="B20" s="107"/>
    </row>
    <row r="21" spans="2:2">
      <c r="B21" s="107"/>
    </row>
  </sheetData>
  <mergeCells count="1">
    <mergeCell ref="B2:C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
  <dimension ref="A1:M35"/>
  <sheetViews>
    <sheetView zoomScale="90" zoomScaleNormal="90" workbookViewId="0">
      <selection activeCell="C11" sqref="C11"/>
    </sheetView>
  </sheetViews>
  <sheetFormatPr baseColWidth="10" defaultColWidth="11.5703125" defaultRowHeight="15.75"/>
  <cols>
    <col min="1" max="1" width="27.85546875" style="1" bestFit="1" customWidth="1"/>
    <col min="2" max="2" width="14.28515625" style="1" bestFit="1" customWidth="1"/>
    <col min="3" max="3" width="13" style="1" bestFit="1" customWidth="1"/>
    <col min="4" max="4" width="13.5703125" style="1" bestFit="1" customWidth="1"/>
    <col min="5" max="5" width="18.5703125" style="1" bestFit="1" customWidth="1"/>
    <col min="6" max="7" width="15" style="1" bestFit="1" customWidth="1"/>
    <col min="8" max="8" width="18.140625" style="1" bestFit="1" customWidth="1"/>
    <col min="9" max="10" width="15.28515625" style="1" bestFit="1" customWidth="1"/>
    <col min="11" max="12" width="15" style="1" bestFit="1" customWidth="1"/>
    <col min="13" max="13" width="15.140625" style="1" customWidth="1"/>
    <col min="14" max="16384" width="11.5703125" style="1"/>
  </cols>
  <sheetData>
    <row r="1" spans="1:13">
      <c r="A1" s="340" t="s">
        <v>87</v>
      </c>
      <c r="B1" s="341">
        <v>1423500</v>
      </c>
      <c r="C1" s="340" t="s">
        <v>294</v>
      </c>
      <c r="D1" s="339">
        <v>2025</v>
      </c>
    </row>
    <row r="2" spans="1:13">
      <c r="A2" s="340" t="s">
        <v>332</v>
      </c>
      <c r="B2" s="341">
        <f>B1/2</f>
        <v>711750</v>
      </c>
    </row>
    <row r="3" spans="1:13">
      <c r="A3" s="340" t="s">
        <v>85</v>
      </c>
      <c r="B3" s="340"/>
      <c r="E3" s="538" t="s">
        <v>86</v>
      </c>
      <c r="F3" s="539"/>
      <c r="G3" s="539"/>
      <c r="H3" s="539"/>
      <c r="I3" s="539"/>
      <c r="J3" s="539"/>
      <c r="K3" s="539"/>
      <c r="L3" s="539"/>
    </row>
    <row r="4" spans="1:13">
      <c r="A4" s="340" t="s">
        <v>96</v>
      </c>
      <c r="B4" s="340">
        <v>180</v>
      </c>
      <c r="E4" s="4"/>
      <c r="F4" s="4">
        <v>2019</v>
      </c>
      <c r="G4" s="4">
        <v>2020</v>
      </c>
      <c r="H4" s="4">
        <v>2021</v>
      </c>
      <c r="I4" s="4">
        <v>2022</v>
      </c>
      <c r="J4" s="4">
        <v>2023</v>
      </c>
      <c r="K4" s="4">
        <v>2024</v>
      </c>
      <c r="L4" s="4">
        <v>2025</v>
      </c>
      <c r="M4" s="1">
        <v>2026</v>
      </c>
    </row>
    <row r="5" spans="1:13">
      <c r="A5" s="340" t="s">
        <v>97</v>
      </c>
      <c r="B5" s="340">
        <v>360</v>
      </c>
      <c r="E5" s="342" t="s">
        <v>76</v>
      </c>
      <c r="F5" s="343">
        <v>828211</v>
      </c>
      <c r="G5" s="343">
        <v>877802</v>
      </c>
      <c r="H5" s="343">
        <v>908526</v>
      </c>
      <c r="I5" s="343">
        <v>1000000</v>
      </c>
      <c r="J5" s="343">
        <v>1160000</v>
      </c>
      <c r="K5" s="343">
        <v>1300000</v>
      </c>
      <c r="L5" s="134">
        <v>1423500</v>
      </c>
    </row>
    <row r="6" spans="1:13">
      <c r="A6" s="3" t="s">
        <v>77</v>
      </c>
      <c r="B6" s="134">
        <f>B1*0.04</f>
        <v>56940</v>
      </c>
      <c r="C6" s="344"/>
      <c r="E6" s="342" t="s">
        <v>85</v>
      </c>
      <c r="F6" s="343">
        <v>97032</v>
      </c>
      <c r="G6" s="343">
        <v>102853</v>
      </c>
      <c r="H6" s="343">
        <v>106454</v>
      </c>
      <c r="I6" s="343">
        <v>117172</v>
      </c>
      <c r="J6" s="343">
        <v>140606</v>
      </c>
      <c r="K6" s="343">
        <v>162000</v>
      </c>
      <c r="L6" s="343">
        <v>200000</v>
      </c>
    </row>
    <row r="7" spans="1:13">
      <c r="A7" s="3" t="s">
        <v>78</v>
      </c>
      <c r="B7" s="134">
        <f>IF(F19&lt;2,B1*0.085,IF(B1/HLOOKUP(D1,F4:M6,2,FALSE)&gt;10,B1*0.085,0))</f>
        <v>0</v>
      </c>
      <c r="C7" s="126"/>
      <c r="F7" s="345">
        <f t="shared" ref="F7:K7" si="0">F5*2</f>
        <v>1656422</v>
      </c>
      <c r="G7" s="345">
        <f t="shared" si="0"/>
        <v>1755604</v>
      </c>
      <c r="H7" s="345">
        <f t="shared" si="0"/>
        <v>1817052</v>
      </c>
      <c r="I7" s="345">
        <f t="shared" si="0"/>
        <v>2000000</v>
      </c>
      <c r="J7" s="345">
        <f t="shared" si="0"/>
        <v>2320000</v>
      </c>
      <c r="K7" s="345">
        <f t="shared" si="0"/>
        <v>2600000</v>
      </c>
      <c r="L7" s="345">
        <f>L5*2</f>
        <v>2847000</v>
      </c>
    </row>
    <row r="8" spans="1:13">
      <c r="A8" s="3" t="s">
        <v>79</v>
      </c>
      <c r="B8" s="134">
        <f>B1*0.04</f>
        <v>56940</v>
      </c>
      <c r="C8" s="120"/>
      <c r="E8" s="346" t="s">
        <v>89</v>
      </c>
      <c r="F8" s="347" t="s">
        <v>90</v>
      </c>
      <c r="G8" s="348" t="s">
        <v>589</v>
      </c>
      <c r="H8" s="348" t="s">
        <v>333</v>
      </c>
    </row>
    <row r="9" spans="1:13">
      <c r="A9" s="3" t="s">
        <v>80</v>
      </c>
      <c r="B9" s="134">
        <f>B1*0.12</f>
        <v>170820</v>
      </c>
      <c r="E9" s="3" t="s">
        <v>91</v>
      </c>
      <c r="F9" s="349">
        <v>5.2199999999999998E-3</v>
      </c>
      <c r="H9" s="120"/>
    </row>
    <row r="10" spans="1:13">
      <c r="A10" s="3" t="s">
        <v>88</v>
      </c>
      <c r="B10" s="134">
        <f>B1*(VLOOKUP(G8,E9:F13,2,FALSE))</f>
        <v>61922.249999999993</v>
      </c>
      <c r="E10" s="3" t="s">
        <v>92</v>
      </c>
      <c r="F10" s="349">
        <v>1.044E-2</v>
      </c>
    </row>
    <row r="11" spans="1:13">
      <c r="A11" s="3" t="s">
        <v>81</v>
      </c>
      <c r="B11" s="134">
        <f>((B1+B3)*B4/360)</f>
        <v>711750</v>
      </c>
      <c r="E11" s="3" t="s">
        <v>93</v>
      </c>
      <c r="F11" s="349">
        <v>2.436E-2</v>
      </c>
    </row>
    <row r="12" spans="1:13" ht="15.6" customHeight="1">
      <c r="A12" s="3" t="s">
        <v>82</v>
      </c>
      <c r="B12" s="134">
        <f>((B1+B3)*B5/360)</f>
        <v>1423500</v>
      </c>
      <c r="E12" s="3" t="s">
        <v>94</v>
      </c>
      <c r="F12" s="349">
        <v>4.3499999999999997E-2</v>
      </c>
      <c r="I12" s="540" t="s">
        <v>368</v>
      </c>
      <c r="J12" s="540"/>
      <c r="K12" s="540"/>
      <c r="L12" s="540"/>
    </row>
    <row r="13" spans="1:13">
      <c r="A13" s="3" t="s">
        <v>83</v>
      </c>
      <c r="B13" s="134">
        <f>(B12*B5*0.12)/360</f>
        <v>170820</v>
      </c>
      <c r="C13" s="120"/>
      <c r="D13" s="120"/>
      <c r="E13" s="3" t="s">
        <v>95</v>
      </c>
      <c r="F13" s="349">
        <v>6.9599999999999995E-2</v>
      </c>
      <c r="I13" s="540"/>
      <c r="J13" s="540"/>
      <c r="K13" s="540"/>
      <c r="L13" s="540"/>
    </row>
    <row r="14" spans="1:13">
      <c r="A14" s="3" t="s">
        <v>331</v>
      </c>
      <c r="B14" s="134">
        <f>B12+B13</f>
        <v>1594320</v>
      </c>
      <c r="C14" s="120"/>
      <c r="D14" s="120"/>
      <c r="F14" s="350"/>
      <c r="I14" s="540"/>
      <c r="J14" s="540"/>
      <c r="K14" s="540"/>
      <c r="L14" s="540"/>
    </row>
    <row r="15" spans="1:13">
      <c r="A15" s="3" t="s">
        <v>84</v>
      </c>
      <c r="B15" s="134">
        <f>(B1*B5)/720</f>
        <v>711750</v>
      </c>
      <c r="I15" s="540"/>
      <c r="J15" s="540"/>
      <c r="K15" s="540"/>
      <c r="L15" s="540"/>
    </row>
    <row r="16" spans="1:13">
      <c r="A16" s="3" t="s">
        <v>370</v>
      </c>
      <c r="B16" s="351">
        <f>IF(B1/HLOOKUP(D1,F4:M7,2,FALSE)&gt;4,B1*1%,0)</f>
        <v>0</v>
      </c>
      <c r="I16" s="540"/>
      <c r="J16" s="540"/>
      <c r="K16" s="540"/>
      <c r="L16" s="540"/>
    </row>
    <row r="17" spans="1:12">
      <c r="A17" s="3" t="s">
        <v>98</v>
      </c>
      <c r="B17" s="351">
        <f>IF(F19&lt;2,B1*0.04,IF(B1/HLOOKUP(D1,F4:M7,2,FALSE)&gt;10,B1*0.04,0))</f>
        <v>0</v>
      </c>
      <c r="E17" s="346" t="s">
        <v>101</v>
      </c>
      <c r="F17" s="346" t="s">
        <v>102</v>
      </c>
      <c r="G17" s="346" t="s">
        <v>103</v>
      </c>
      <c r="H17" s="28"/>
      <c r="I17" s="540"/>
      <c r="J17" s="540"/>
      <c r="K17" s="540"/>
      <c r="L17" s="540"/>
    </row>
    <row r="18" spans="1:12">
      <c r="A18" s="3" t="s">
        <v>99</v>
      </c>
      <c r="B18" s="351">
        <f>IF(F19&lt;2,B1*0.03,IF(B1/HLOOKUP(D1,F4:M7,2,FALSE)&gt;10,B1*0.03,0))</f>
        <v>0</v>
      </c>
      <c r="E18" s="352">
        <f>DAYS360(F18,G18)</f>
        <v>150</v>
      </c>
      <c r="F18" s="353">
        <v>44774</v>
      </c>
      <c r="G18" s="353">
        <v>44926</v>
      </c>
      <c r="I18" s="540"/>
      <c r="J18" s="540"/>
      <c r="K18" s="540"/>
      <c r="L18" s="540"/>
    </row>
    <row r="19" spans="1:12">
      <c r="A19" s="3" t="s">
        <v>100</v>
      </c>
      <c r="B19" s="351">
        <f>IF(F19&lt;2,B1*0.02,IF(B1/HLOOKUP(D1,F4:M7,2,FALSE)&gt;10,B1*0.02,0))</f>
        <v>0</v>
      </c>
      <c r="E19" s="3" t="s">
        <v>369</v>
      </c>
      <c r="F19" s="339">
        <v>2</v>
      </c>
      <c r="I19" s="540"/>
      <c r="J19" s="540"/>
      <c r="K19" s="540"/>
      <c r="L19" s="540"/>
    </row>
    <row r="20" spans="1:12">
      <c r="I20" s="540"/>
      <c r="J20" s="540"/>
      <c r="K20" s="540"/>
      <c r="L20" s="540"/>
    </row>
    <row r="21" spans="1:12">
      <c r="J21" s="15"/>
    </row>
    <row r="22" spans="1:12">
      <c r="J22" s="15"/>
    </row>
    <row r="23" spans="1:12">
      <c r="J23" s="15"/>
    </row>
    <row r="24" spans="1:12">
      <c r="J24" s="15"/>
    </row>
    <row r="25" spans="1:12">
      <c r="J25" s="15"/>
    </row>
    <row r="26" spans="1:12">
      <c r="J26" s="15"/>
    </row>
    <row r="27" spans="1:12">
      <c r="J27" s="15"/>
    </row>
    <row r="28" spans="1:12">
      <c r="J28" s="15"/>
    </row>
    <row r="29" spans="1:12">
      <c r="J29" s="15"/>
    </row>
    <row r="30" spans="1:12">
      <c r="J30" s="15"/>
    </row>
    <row r="31" spans="1:12">
      <c r="J31" s="15"/>
    </row>
    <row r="32" spans="1:12">
      <c r="J32" s="15"/>
    </row>
    <row r="33" spans="10:10">
      <c r="J33" s="15"/>
    </row>
    <row r="34" spans="10:10">
      <c r="J34" s="15"/>
    </row>
    <row r="35" spans="10:10">
      <c r="J35" s="15"/>
    </row>
  </sheetData>
  <mergeCells count="2">
    <mergeCell ref="E3:L3"/>
    <mergeCell ref="I12:L20"/>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
  <dimension ref="A1:AF127"/>
  <sheetViews>
    <sheetView workbookViewId="0">
      <selection activeCell="V2" sqref="V2"/>
    </sheetView>
  </sheetViews>
  <sheetFormatPr baseColWidth="10" defaultRowHeight="15"/>
  <cols>
    <col min="3" max="3" width="11.7109375" bestFit="1" customWidth="1"/>
    <col min="5" max="10" width="12.7109375" bestFit="1" customWidth="1"/>
    <col min="11" max="12" width="11.7109375" style="11" bestFit="1" customWidth="1"/>
    <col min="13" max="13" width="17.7109375" customWidth="1"/>
    <col min="14" max="14" width="13.7109375" bestFit="1" customWidth="1"/>
    <col min="23" max="23" width="12.85546875" bestFit="1" customWidth="1"/>
  </cols>
  <sheetData>
    <row r="1" spans="1:32" ht="16.5" thickBot="1">
      <c r="B1" s="542" t="s">
        <v>144</v>
      </c>
      <c r="C1" s="542"/>
      <c r="D1" s="542"/>
      <c r="E1" s="542"/>
      <c r="F1" s="542"/>
      <c r="G1" s="542"/>
      <c r="H1" s="542"/>
      <c r="I1" s="542"/>
      <c r="J1" s="542"/>
      <c r="K1" s="542"/>
      <c r="L1" s="542"/>
      <c r="N1" s="541" t="s">
        <v>145</v>
      </c>
      <c r="O1" s="541"/>
      <c r="P1" s="541"/>
      <c r="Q1" s="541"/>
      <c r="R1" s="541"/>
      <c r="S1" s="541"/>
      <c r="T1" s="541"/>
      <c r="U1" s="541"/>
      <c r="W1" s="541" t="s">
        <v>146</v>
      </c>
      <c r="X1" s="541"/>
      <c r="Y1" s="541"/>
      <c r="Z1" s="541"/>
      <c r="AA1" s="541"/>
      <c r="AB1" s="541"/>
      <c r="AC1" s="541"/>
      <c r="AD1" s="541"/>
    </row>
    <row r="2" spans="1:32" ht="16.5" thickBot="1">
      <c r="A2" s="29" t="s">
        <v>293</v>
      </c>
      <c r="B2" s="69" t="s">
        <v>0</v>
      </c>
      <c r="C2" s="69" t="s">
        <v>130</v>
      </c>
      <c r="D2" s="69" t="s">
        <v>131</v>
      </c>
      <c r="E2" s="69">
        <v>2018</v>
      </c>
      <c r="F2" s="69">
        <v>2019</v>
      </c>
      <c r="G2" s="69">
        <v>2020</v>
      </c>
      <c r="H2" s="69">
        <v>2021</v>
      </c>
      <c r="I2" s="69">
        <v>2022</v>
      </c>
      <c r="J2" s="69">
        <v>2023</v>
      </c>
      <c r="K2" s="69">
        <v>2024</v>
      </c>
      <c r="L2" s="69">
        <v>2025</v>
      </c>
      <c r="N2" s="39" t="s">
        <v>131</v>
      </c>
      <c r="O2" s="39" t="s">
        <v>147</v>
      </c>
      <c r="P2" s="39">
        <v>2019</v>
      </c>
      <c r="Q2" s="39">
        <v>2020</v>
      </c>
      <c r="R2" s="39">
        <v>2021</v>
      </c>
      <c r="S2" s="39">
        <v>2022</v>
      </c>
      <c r="T2" s="40">
        <v>2023</v>
      </c>
      <c r="U2" s="41">
        <v>2024</v>
      </c>
      <c r="W2" s="39" t="s">
        <v>131</v>
      </c>
      <c r="X2" s="39" t="s">
        <v>147</v>
      </c>
      <c r="Y2" s="39">
        <v>2019</v>
      </c>
      <c r="Z2" s="39">
        <v>2020</v>
      </c>
      <c r="AA2" s="39">
        <v>2021</v>
      </c>
      <c r="AB2" s="39">
        <v>2022</v>
      </c>
      <c r="AC2" s="40">
        <v>2023</v>
      </c>
      <c r="AD2" s="41">
        <v>2024</v>
      </c>
      <c r="AF2" s="36" t="s">
        <v>149</v>
      </c>
    </row>
    <row r="3" spans="1:32" ht="15.75">
      <c r="A3" s="29">
        <v>1</v>
      </c>
      <c r="B3" s="67" t="s">
        <v>132</v>
      </c>
      <c r="C3" s="67">
        <v>0</v>
      </c>
      <c r="D3" s="67" t="str">
        <f>CONCATENATE(B3,C3)</f>
        <v>ENERO0</v>
      </c>
      <c r="E3" s="68">
        <v>43139</v>
      </c>
      <c r="F3" s="68">
        <v>43504</v>
      </c>
      <c r="G3" s="66">
        <v>43872</v>
      </c>
      <c r="H3" s="66">
        <v>44249</v>
      </c>
      <c r="I3" s="66">
        <v>44613</v>
      </c>
      <c r="J3" s="66">
        <v>44977</v>
      </c>
      <c r="K3" s="5">
        <v>45344</v>
      </c>
      <c r="L3" s="70">
        <v>45712</v>
      </c>
      <c r="N3" s="42" t="s">
        <v>128</v>
      </c>
      <c r="O3" s="43">
        <v>0</v>
      </c>
      <c r="P3" s="43"/>
      <c r="Q3" s="43"/>
      <c r="R3" s="43"/>
      <c r="S3" s="43"/>
      <c r="T3" s="43"/>
      <c r="U3" s="44"/>
      <c r="W3" s="42" t="s">
        <v>150</v>
      </c>
      <c r="X3" s="43">
        <v>0</v>
      </c>
      <c r="Y3" s="43"/>
      <c r="Z3" s="43"/>
      <c r="AA3" s="43"/>
      <c r="AB3" s="43"/>
      <c r="AC3" s="43"/>
      <c r="AD3" s="44"/>
      <c r="AF3" s="35">
        <v>0</v>
      </c>
    </row>
    <row r="4" spans="1:32" ht="15.75">
      <c r="A4" s="29">
        <v>2</v>
      </c>
      <c r="B4" s="67" t="s">
        <v>133</v>
      </c>
      <c r="C4" s="67">
        <v>0</v>
      </c>
      <c r="D4" s="67" t="str">
        <f t="shared" ref="D4:D14" si="0">CONCATENATE(B4,C4)</f>
        <v>FEBRERO0</v>
      </c>
      <c r="E4" s="68">
        <v>43167</v>
      </c>
      <c r="F4" s="68">
        <v>43532</v>
      </c>
      <c r="G4" s="66">
        <v>43900</v>
      </c>
      <c r="H4" s="66">
        <v>44278</v>
      </c>
      <c r="I4" s="66">
        <v>44642</v>
      </c>
      <c r="J4" s="66">
        <v>45006</v>
      </c>
      <c r="K4" s="5">
        <v>45373</v>
      </c>
      <c r="L4" s="70">
        <v>45741</v>
      </c>
      <c r="N4" s="45" t="s">
        <v>148</v>
      </c>
      <c r="O4" s="29">
        <v>0</v>
      </c>
      <c r="P4" s="29"/>
      <c r="Q4" s="29"/>
      <c r="R4" s="29"/>
      <c r="S4" s="29"/>
      <c r="T4" s="29"/>
      <c r="U4" s="46"/>
      <c r="W4" s="45" t="s">
        <v>27</v>
      </c>
      <c r="X4" s="29">
        <v>0</v>
      </c>
      <c r="Y4" s="29"/>
      <c r="Z4" s="29"/>
      <c r="AA4" s="29"/>
      <c r="AB4" s="29"/>
      <c r="AC4" s="29"/>
      <c r="AD4" s="46"/>
      <c r="AF4" s="35">
        <v>1</v>
      </c>
    </row>
    <row r="5" spans="1:32" ht="30">
      <c r="A5" s="29">
        <v>3</v>
      </c>
      <c r="B5" s="67" t="s">
        <v>134</v>
      </c>
      <c r="C5" s="67">
        <v>0</v>
      </c>
      <c r="D5" s="67" t="str">
        <f t="shared" si="0"/>
        <v>MARZO0</v>
      </c>
      <c r="E5" s="68">
        <v>43200</v>
      </c>
      <c r="F5" s="68">
        <v>43564</v>
      </c>
      <c r="G5" s="66">
        <v>43935</v>
      </c>
      <c r="H5" s="66">
        <v>44309</v>
      </c>
      <c r="I5" s="66">
        <v>44673</v>
      </c>
      <c r="J5" s="66">
        <v>45037</v>
      </c>
      <c r="K5" s="5">
        <v>45404</v>
      </c>
      <c r="L5" s="70">
        <v>45771</v>
      </c>
      <c r="N5" s="45" t="s">
        <v>50</v>
      </c>
      <c r="O5" s="29">
        <v>0</v>
      </c>
      <c r="P5" s="29"/>
      <c r="Q5" s="29"/>
      <c r="R5" s="29"/>
      <c r="S5" s="29"/>
      <c r="T5" s="29"/>
      <c r="U5" s="46"/>
      <c r="W5" s="47" t="s">
        <v>28</v>
      </c>
      <c r="X5" s="29">
        <v>0</v>
      </c>
      <c r="Y5" s="29"/>
      <c r="Z5" s="29"/>
      <c r="AA5" s="29"/>
      <c r="AB5" s="29"/>
      <c r="AC5" s="29"/>
      <c r="AD5" s="46"/>
      <c r="AF5" s="35">
        <v>2</v>
      </c>
    </row>
    <row r="6" spans="1:32" ht="15.75">
      <c r="A6" s="29">
        <v>4</v>
      </c>
      <c r="B6" s="67" t="s">
        <v>135</v>
      </c>
      <c r="C6" s="67">
        <v>0</v>
      </c>
      <c r="D6" s="67" t="str">
        <f t="shared" si="0"/>
        <v>ABRIL0</v>
      </c>
      <c r="E6" s="68">
        <v>43229</v>
      </c>
      <c r="F6" s="68">
        <v>43594</v>
      </c>
      <c r="G6" s="66">
        <v>43963</v>
      </c>
      <c r="H6" s="66">
        <v>44340</v>
      </c>
      <c r="I6" s="66">
        <v>44704</v>
      </c>
      <c r="J6" s="66">
        <v>45069</v>
      </c>
      <c r="K6" s="5">
        <v>45436</v>
      </c>
      <c r="L6" s="70">
        <v>45800</v>
      </c>
      <c r="N6" s="45" t="s">
        <v>129</v>
      </c>
      <c r="O6" s="29">
        <v>0</v>
      </c>
      <c r="P6" s="29"/>
      <c r="Q6" s="29"/>
      <c r="R6" s="29"/>
      <c r="S6" s="29"/>
      <c r="T6" s="29"/>
      <c r="U6" s="46"/>
      <c r="W6" s="45" t="s">
        <v>150</v>
      </c>
      <c r="X6" s="29">
        <v>1</v>
      </c>
      <c r="Y6" s="29"/>
      <c r="Z6" s="29"/>
      <c r="AA6" s="29"/>
      <c r="AB6" s="29"/>
      <c r="AC6" s="29"/>
      <c r="AD6" s="46"/>
      <c r="AF6" s="35">
        <v>3</v>
      </c>
    </row>
    <row r="7" spans="1:32" ht="30">
      <c r="A7" s="29">
        <v>5</v>
      </c>
      <c r="B7" s="67" t="s">
        <v>136</v>
      </c>
      <c r="C7" s="67">
        <v>0</v>
      </c>
      <c r="D7" s="67" t="str">
        <f t="shared" si="0"/>
        <v>MAYO0</v>
      </c>
      <c r="E7" s="68">
        <v>43264</v>
      </c>
      <c r="F7" s="68">
        <v>43627</v>
      </c>
      <c r="G7" s="66">
        <v>43991</v>
      </c>
      <c r="H7" s="66">
        <v>44370</v>
      </c>
      <c r="I7" s="66">
        <v>44733</v>
      </c>
      <c r="J7" s="66">
        <v>45099</v>
      </c>
      <c r="K7" s="5">
        <v>45469</v>
      </c>
      <c r="L7" s="70">
        <v>45833</v>
      </c>
      <c r="N7" s="47" t="s">
        <v>47</v>
      </c>
      <c r="O7" s="29">
        <v>0</v>
      </c>
      <c r="P7" s="29"/>
      <c r="Q7" s="29"/>
      <c r="R7" s="29"/>
      <c r="S7" s="29"/>
      <c r="T7" s="29"/>
      <c r="U7" s="46"/>
      <c r="W7" s="45" t="s">
        <v>27</v>
      </c>
      <c r="X7" s="29">
        <v>1</v>
      </c>
      <c r="Y7" s="29"/>
      <c r="Z7" s="29"/>
      <c r="AA7" s="29"/>
      <c r="AB7" s="29"/>
      <c r="AC7" s="29"/>
      <c r="AD7" s="46"/>
      <c r="AF7" s="35">
        <v>4</v>
      </c>
    </row>
    <row r="8" spans="1:32" ht="30">
      <c r="A8" s="29">
        <v>6</v>
      </c>
      <c r="B8" s="67" t="s">
        <v>137</v>
      </c>
      <c r="C8" s="67">
        <v>0</v>
      </c>
      <c r="D8" s="67" t="str">
        <f t="shared" si="0"/>
        <v>JUNIO0</v>
      </c>
      <c r="E8" s="68">
        <v>43291</v>
      </c>
      <c r="F8" s="68">
        <v>43655</v>
      </c>
      <c r="G8" s="66">
        <v>44019</v>
      </c>
      <c r="H8" s="66">
        <v>44399</v>
      </c>
      <c r="I8" s="66">
        <v>44764</v>
      </c>
      <c r="J8" s="66">
        <v>45128</v>
      </c>
      <c r="K8" s="5">
        <v>45496</v>
      </c>
      <c r="L8" s="70">
        <v>45860</v>
      </c>
      <c r="N8" s="47" t="s">
        <v>48</v>
      </c>
      <c r="O8" s="29">
        <v>0</v>
      </c>
      <c r="P8" s="29"/>
      <c r="Q8" s="29"/>
      <c r="R8" s="29"/>
      <c r="S8" s="29"/>
      <c r="T8" s="29"/>
      <c r="U8" s="46"/>
      <c r="W8" s="47" t="s">
        <v>28</v>
      </c>
      <c r="X8" s="29">
        <v>1</v>
      </c>
      <c r="Y8" s="29"/>
      <c r="Z8" s="29"/>
      <c r="AA8" s="29"/>
      <c r="AB8" s="29"/>
      <c r="AC8" s="29"/>
      <c r="AD8" s="46"/>
      <c r="AF8" s="35">
        <v>5</v>
      </c>
    </row>
    <row r="9" spans="1:32" ht="15.75">
      <c r="A9" s="29">
        <v>7</v>
      </c>
      <c r="B9" s="67" t="s">
        <v>138</v>
      </c>
      <c r="C9" s="67">
        <v>0</v>
      </c>
      <c r="D9" s="67" t="str">
        <f t="shared" si="0"/>
        <v>JULIO0</v>
      </c>
      <c r="E9" s="68">
        <v>43321</v>
      </c>
      <c r="F9" s="68">
        <v>43686</v>
      </c>
      <c r="G9" s="66">
        <v>44054</v>
      </c>
      <c r="H9" s="66">
        <v>44432</v>
      </c>
      <c r="I9" s="66">
        <v>44796</v>
      </c>
      <c r="J9" s="66">
        <v>45161</v>
      </c>
      <c r="K9" s="5">
        <v>45530</v>
      </c>
      <c r="L9" s="70">
        <v>45895</v>
      </c>
      <c r="N9" s="45" t="s">
        <v>128</v>
      </c>
      <c r="O9" s="29">
        <v>1</v>
      </c>
      <c r="P9" s="29"/>
      <c r="Q9" s="29"/>
      <c r="R9" s="29"/>
      <c r="S9" s="29"/>
      <c r="T9" s="29"/>
      <c r="U9" s="46"/>
      <c r="W9" s="45" t="s">
        <v>150</v>
      </c>
      <c r="X9" s="29">
        <v>2</v>
      </c>
      <c r="Y9" s="29"/>
      <c r="Z9" s="29"/>
      <c r="AA9" s="29"/>
      <c r="AB9" s="29"/>
      <c r="AC9" s="29"/>
      <c r="AD9" s="46"/>
      <c r="AF9" s="35">
        <v>6</v>
      </c>
    </row>
    <row r="10" spans="1:32" ht="15.75">
      <c r="A10" s="29">
        <v>8</v>
      </c>
      <c r="B10" s="67" t="s">
        <v>139</v>
      </c>
      <c r="C10" s="67">
        <v>0</v>
      </c>
      <c r="D10" s="67" t="str">
        <f t="shared" si="0"/>
        <v>AGOSTO0</v>
      </c>
      <c r="E10" s="68">
        <v>43354</v>
      </c>
      <c r="F10" s="68">
        <v>43718</v>
      </c>
      <c r="G10" s="66">
        <v>44082</v>
      </c>
      <c r="H10" s="66">
        <v>44460</v>
      </c>
      <c r="I10" s="66">
        <v>44824</v>
      </c>
      <c r="J10" s="66">
        <v>45189</v>
      </c>
      <c r="K10" s="5">
        <v>45558</v>
      </c>
      <c r="L10" s="70">
        <v>45922</v>
      </c>
      <c r="N10" s="45" t="s">
        <v>148</v>
      </c>
      <c r="O10" s="29">
        <v>1</v>
      </c>
      <c r="P10" s="29"/>
      <c r="Q10" s="29"/>
      <c r="R10" s="29"/>
      <c r="S10" s="29"/>
      <c r="T10" s="29"/>
      <c r="U10" s="46"/>
      <c r="W10" s="45" t="s">
        <v>27</v>
      </c>
      <c r="X10" s="29">
        <v>2</v>
      </c>
      <c r="Y10" s="29"/>
      <c r="Z10" s="29"/>
      <c r="AA10" s="29"/>
      <c r="AB10" s="29"/>
      <c r="AC10" s="29"/>
      <c r="AD10" s="46"/>
      <c r="AF10" s="35">
        <v>7</v>
      </c>
    </row>
    <row r="11" spans="1:32" ht="31.5">
      <c r="A11" s="29">
        <v>9</v>
      </c>
      <c r="B11" s="67" t="s">
        <v>140</v>
      </c>
      <c r="C11" s="67">
        <v>0</v>
      </c>
      <c r="D11" s="67" t="str">
        <f t="shared" si="0"/>
        <v>SEPTIEMBRE0</v>
      </c>
      <c r="E11" s="68">
        <v>43382</v>
      </c>
      <c r="F11" s="68">
        <v>43746</v>
      </c>
      <c r="G11" s="66">
        <v>44110</v>
      </c>
      <c r="H11" s="66">
        <v>44490</v>
      </c>
      <c r="I11" s="66">
        <v>44855</v>
      </c>
      <c r="J11" s="66">
        <v>45223</v>
      </c>
      <c r="K11" s="5">
        <v>45588</v>
      </c>
      <c r="L11" s="70">
        <v>45953</v>
      </c>
      <c r="N11" s="45" t="s">
        <v>50</v>
      </c>
      <c r="O11" s="29">
        <v>1</v>
      </c>
      <c r="P11" s="29"/>
      <c r="Q11" s="29"/>
      <c r="R11" s="29"/>
      <c r="S11" s="29"/>
      <c r="T11" s="29"/>
      <c r="U11" s="46"/>
      <c r="W11" s="47" t="s">
        <v>28</v>
      </c>
      <c r="X11" s="29">
        <v>2</v>
      </c>
      <c r="Y11" s="29"/>
      <c r="Z11" s="29"/>
      <c r="AA11" s="29"/>
      <c r="AB11" s="29"/>
      <c r="AC11" s="29"/>
      <c r="AD11" s="46"/>
      <c r="AF11" s="35">
        <v>8</v>
      </c>
    </row>
    <row r="12" spans="1:32" ht="15.75">
      <c r="A12" s="29">
        <v>10</v>
      </c>
      <c r="B12" s="67" t="s">
        <v>141</v>
      </c>
      <c r="C12" s="67">
        <v>0</v>
      </c>
      <c r="D12" s="67" t="str">
        <f t="shared" si="0"/>
        <v>OCTUBRE0</v>
      </c>
      <c r="E12" s="68">
        <v>43413</v>
      </c>
      <c r="F12" s="68">
        <v>43781</v>
      </c>
      <c r="G12" s="66">
        <v>44145</v>
      </c>
      <c r="H12" s="66">
        <v>44523</v>
      </c>
      <c r="I12" s="66">
        <v>44888</v>
      </c>
      <c r="J12" s="66">
        <v>45252</v>
      </c>
      <c r="K12" s="5">
        <v>45622</v>
      </c>
      <c r="L12" s="70">
        <v>45987</v>
      </c>
      <c r="N12" s="45" t="s">
        <v>129</v>
      </c>
      <c r="O12" s="29">
        <v>1</v>
      </c>
      <c r="P12" s="29"/>
      <c r="Q12" s="29"/>
      <c r="R12" s="29"/>
      <c r="S12" s="29"/>
      <c r="T12" s="29"/>
      <c r="U12" s="46"/>
      <c r="W12" s="45" t="s">
        <v>150</v>
      </c>
      <c r="X12" s="29">
        <v>3</v>
      </c>
      <c r="Y12" s="29"/>
      <c r="Z12" s="29"/>
      <c r="AA12" s="29"/>
      <c r="AB12" s="29"/>
      <c r="AC12" s="29"/>
      <c r="AD12" s="46"/>
      <c r="AF12" s="35">
        <v>9</v>
      </c>
    </row>
    <row r="13" spans="1:32" ht="31.5">
      <c r="A13" s="29">
        <v>11</v>
      </c>
      <c r="B13" s="67" t="s">
        <v>142</v>
      </c>
      <c r="C13" s="67">
        <v>0</v>
      </c>
      <c r="D13" s="67" t="str">
        <f t="shared" si="0"/>
        <v>NOVIEMBRE0</v>
      </c>
      <c r="E13" s="68">
        <v>43444</v>
      </c>
      <c r="F13" s="68">
        <v>43809</v>
      </c>
      <c r="G13" s="66">
        <v>44175</v>
      </c>
      <c r="H13" s="66">
        <v>44553</v>
      </c>
      <c r="I13" s="66">
        <v>44918</v>
      </c>
      <c r="J13" s="66">
        <v>44917</v>
      </c>
      <c r="K13" s="5">
        <v>45649</v>
      </c>
      <c r="L13" s="70">
        <v>46014</v>
      </c>
      <c r="N13" s="47" t="s">
        <v>47</v>
      </c>
      <c r="O13" s="29">
        <v>1</v>
      </c>
      <c r="P13" s="29"/>
      <c r="Q13" s="29"/>
      <c r="R13" s="29"/>
      <c r="S13" s="29"/>
      <c r="T13" s="29"/>
      <c r="U13" s="46"/>
      <c r="W13" s="45" t="s">
        <v>27</v>
      </c>
      <c r="X13" s="29">
        <v>3</v>
      </c>
      <c r="Y13" s="29"/>
      <c r="Z13" s="29"/>
      <c r="AA13" s="29"/>
      <c r="AB13" s="29"/>
      <c r="AC13" s="29"/>
      <c r="AD13" s="46"/>
    </row>
    <row r="14" spans="1:32" ht="32.25" thickBot="1">
      <c r="A14" s="29">
        <v>12</v>
      </c>
      <c r="B14" s="67" t="s">
        <v>143</v>
      </c>
      <c r="C14" s="67">
        <v>0</v>
      </c>
      <c r="D14" s="67" t="str">
        <f t="shared" si="0"/>
        <v>DICIEMBRE0</v>
      </c>
      <c r="E14" s="68">
        <v>43476</v>
      </c>
      <c r="F14" s="68">
        <v>43840</v>
      </c>
      <c r="G14" s="66">
        <v>44209</v>
      </c>
      <c r="H14" s="66">
        <v>44586</v>
      </c>
      <c r="I14" s="66">
        <v>44950</v>
      </c>
      <c r="J14" s="66">
        <v>45314</v>
      </c>
      <c r="K14" s="5">
        <v>45681</v>
      </c>
      <c r="L14" s="70">
        <v>46048</v>
      </c>
      <c r="N14" s="47" t="s">
        <v>48</v>
      </c>
      <c r="O14" s="29">
        <v>1</v>
      </c>
      <c r="P14" s="29"/>
      <c r="Q14" s="29"/>
      <c r="R14" s="29"/>
      <c r="S14" s="29"/>
      <c r="T14" s="29"/>
      <c r="U14" s="46"/>
      <c r="W14" s="47" t="s">
        <v>28</v>
      </c>
      <c r="X14" s="29">
        <v>3</v>
      </c>
      <c r="Y14" s="29"/>
      <c r="Z14" s="29"/>
      <c r="AA14" s="29"/>
      <c r="AB14" s="29"/>
      <c r="AC14" s="29"/>
      <c r="AD14" s="46"/>
    </row>
    <row r="15" spans="1:32" ht="15.75">
      <c r="A15" s="29">
        <v>1</v>
      </c>
      <c r="B15" s="67" t="s">
        <v>132</v>
      </c>
      <c r="C15" s="67">
        <v>1</v>
      </c>
      <c r="D15" s="67" t="str">
        <f>CONCATENATE(B15,C15)</f>
        <v>ENERO1</v>
      </c>
      <c r="E15" s="68">
        <v>43152</v>
      </c>
      <c r="F15" s="68">
        <v>43517</v>
      </c>
      <c r="G15" s="66">
        <v>43885</v>
      </c>
      <c r="H15" s="66">
        <v>44236</v>
      </c>
      <c r="I15" s="66">
        <v>44600</v>
      </c>
      <c r="J15" s="66">
        <v>44964</v>
      </c>
      <c r="K15" s="5">
        <v>45331</v>
      </c>
      <c r="L15" s="70">
        <v>45699</v>
      </c>
      <c r="N15" s="42" t="s">
        <v>128</v>
      </c>
      <c r="O15" s="43">
        <v>2</v>
      </c>
      <c r="P15" s="29"/>
      <c r="Q15" s="29"/>
      <c r="R15" s="29"/>
      <c r="S15" s="29"/>
      <c r="T15" s="29"/>
      <c r="U15" s="46"/>
      <c r="W15" s="45" t="s">
        <v>150</v>
      </c>
      <c r="X15" s="29">
        <v>4</v>
      </c>
      <c r="Y15" s="29"/>
      <c r="Z15" s="29"/>
      <c r="AA15" s="29"/>
      <c r="AB15" s="29"/>
      <c r="AC15" s="29"/>
      <c r="AD15" s="46"/>
    </row>
    <row r="16" spans="1:32" ht="15.75">
      <c r="A16" s="29">
        <v>2</v>
      </c>
      <c r="B16" s="67" t="s">
        <v>133</v>
      </c>
      <c r="C16" s="67">
        <v>1</v>
      </c>
      <c r="D16" s="67" t="str">
        <f t="shared" ref="D16:D79" si="1">CONCATENATE(B16,C16)</f>
        <v>FEBRERO1</v>
      </c>
      <c r="E16" s="68">
        <v>43181</v>
      </c>
      <c r="F16" s="68">
        <v>43545</v>
      </c>
      <c r="G16" s="66">
        <v>43914</v>
      </c>
      <c r="H16" s="66">
        <v>44264</v>
      </c>
      <c r="I16" s="66">
        <v>44628</v>
      </c>
      <c r="J16" s="66">
        <v>44992</v>
      </c>
      <c r="K16" s="5">
        <v>45362</v>
      </c>
      <c r="L16" s="70">
        <v>45727</v>
      </c>
      <c r="N16" s="45" t="s">
        <v>148</v>
      </c>
      <c r="O16" s="29">
        <v>2</v>
      </c>
      <c r="P16" s="29"/>
      <c r="Q16" s="29"/>
      <c r="R16" s="29"/>
      <c r="S16" s="29"/>
      <c r="T16" s="29"/>
      <c r="U16" s="46"/>
      <c r="W16" s="45" t="s">
        <v>27</v>
      </c>
      <c r="X16" s="29">
        <v>4</v>
      </c>
      <c r="Y16" s="29"/>
      <c r="Z16" s="29"/>
      <c r="AA16" s="29"/>
      <c r="AB16" s="29"/>
      <c r="AC16" s="29"/>
      <c r="AD16" s="46"/>
    </row>
    <row r="17" spans="1:30" ht="30">
      <c r="A17" s="29">
        <v>3</v>
      </c>
      <c r="B17" s="67" t="s">
        <v>134</v>
      </c>
      <c r="C17" s="67">
        <v>1</v>
      </c>
      <c r="D17" s="67" t="str">
        <f t="shared" si="1"/>
        <v>MARZO1</v>
      </c>
      <c r="E17" s="68">
        <v>43213</v>
      </c>
      <c r="F17" s="68">
        <v>43576</v>
      </c>
      <c r="G17" s="66">
        <v>43948</v>
      </c>
      <c r="H17" s="66">
        <v>44298</v>
      </c>
      <c r="I17" s="66">
        <v>44658</v>
      </c>
      <c r="J17" s="66">
        <v>45026</v>
      </c>
      <c r="K17" s="5">
        <v>45391</v>
      </c>
      <c r="L17" s="70">
        <v>45756</v>
      </c>
      <c r="N17" s="45" t="s">
        <v>50</v>
      </c>
      <c r="O17" s="29">
        <v>2</v>
      </c>
      <c r="P17" s="29"/>
      <c r="Q17" s="29"/>
      <c r="R17" s="29"/>
      <c r="S17" s="29"/>
      <c r="T17" s="29"/>
      <c r="U17" s="46"/>
      <c r="W17" s="47" t="s">
        <v>28</v>
      </c>
      <c r="X17" s="29">
        <v>4</v>
      </c>
      <c r="Y17" s="29"/>
      <c r="Z17" s="29"/>
      <c r="AA17" s="29"/>
      <c r="AB17" s="29"/>
      <c r="AC17" s="29"/>
      <c r="AD17" s="46"/>
    </row>
    <row r="18" spans="1:30" ht="15.75">
      <c r="A18" s="29">
        <v>4</v>
      </c>
      <c r="B18" s="67" t="s">
        <v>135</v>
      </c>
      <c r="C18" s="67">
        <v>1</v>
      </c>
      <c r="D18" s="67" t="str">
        <f t="shared" si="1"/>
        <v>ABRIL1</v>
      </c>
      <c r="E18" s="68">
        <v>43243</v>
      </c>
      <c r="F18" s="68">
        <v>43607</v>
      </c>
      <c r="G18" s="66">
        <v>43977</v>
      </c>
      <c r="H18" s="66">
        <v>44326</v>
      </c>
      <c r="I18" s="66">
        <v>44691</v>
      </c>
      <c r="J18" s="66">
        <v>45055</v>
      </c>
      <c r="K18" s="5">
        <v>45422</v>
      </c>
      <c r="L18" s="70">
        <v>45789</v>
      </c>
      <c r="N18" s="45" t="s">
        <v>129</v>
      </c>
      <c r="O18" s="29">
        <v>2</v>
      </c>
      <c r="P18" s="29"/>
      <c r="Q18" s="29"/>
      <c r="R18" s="29"/>
      <c r="S18" s="29"/>
      <c r="T18" s="29"/>
      <c r="U18" s="46"/>
      <c r="W18" s="45" t="s">
        <v>150</v>
      </c>
      <c r="X18" s="29">
        <v>5</v>
      </c>
      <c r="Y18" s="29"/>
      <c r="Z18" s="29"/>
      <c r="AA18" s="29"/>
      <c r="AB18" s="29"/>
      <c r="AC18" s="29"/>
      <c r="AD18" s="46"/>
    </row>
    <row r="19" spans="1:30" ht="30">
      <c r="A19" s="29">
        <v>5</v>
      </c>
      <c r="B19" s="67" t="s">
        <v>136</v>
      </c>
      <c r="C19" s="67">
        <v>1</v>
      </c>
      <c r="D19" s="67" t="str">
        <f t="shared" si="1"/>
        <v>MAYO1</v>
      </c>
      <c r="E19" s="68">
        <v>43277</v>
      </c>
      <c r="F19" s="68">
        <v>43641</v>
      </c>
      <c r="G19" s="66">
        <v>44006</v>
      </c>
      <c r="H19" s="66">
        <v>44356</v>
      </c>
      <c r="I19" s="66">
        <v>44719</v>
      </c>
      <c r="J19" s="66">
        <v>45084</v>
      </c>
      <c r="K19" s="5">
        <v>45456</v>
      </c>
      <c r="L19" s="70">
        <v>45819</v>
      </c>
      <c r="N19" s="47" t="s">
        <v>47</v>
      </c>
      <c r="O19" s="29">
        <v>2</v>
      </c>
      <c r="P19" s="29"/>
      <c r="Q19" s="29"/>
      <c r="R19" s="29"/>
      <c r="S19" s="29"/>
      <c r="T19" s="29"/>
      <c r="U19" s="46"/>
      <c r="W19" s="45" t="s">
        <v>27</v>
      </c>
      <c r="X19" s="29">
        <v>5</v>
      </c>
      <c r="Y19" s="29"/>
      <c r="Z19" s="29"/>
      <c r="AA19" s="29"/>
      <c r="AB19" s="29"/>
      <c r="AC19" s="29"/>
      <c r="AD19" s="46"/>
    </row>
    <row r="20" spans="1:30" ht="30.75" thickBot="1">
      <c r="A20" s="29">
        <v>6</v>
      </c>
      <c r="B20" s="67" t="s">
        <v>137</v>
      </c>
      <c r="C20" s="67">
        <v>1</v>
      </c>
      <c r="D20" s="67" t="str">
        <f t="shared" si="1"/>
        <v>JUNIO1</v>
      </c>
      <c r="E20" s="68">
        <v>43305</v>
      </c>
      <c r="F20" s="68">
        <v>43668</v>
      </c>
      <c r="G20" s="66">
        <v>44033</v>
      </c>
      <c r="H20" s="66">
        <v>44385</v>
      </c>
      <c r="I20" s="66">
        <v>44750</v>
      </c>
      <c r="J20" s="66">
        <v>45114</v>
      </c>
      <c r="K20" s="5">
        <v>45483</v>
      </c>
      <c r="L20" s="70">
        <v>45847</v>
      </c>
      <c r="N20" s="47" t="s">
        <v>48</v>
      </c>
      <c r="O20" s="29">
        <v>2</v>
      </c>
      <c r="P20" s="29"/>
      <c r="Q20" s="29"/>
      <c r="R20" s="29"/>
      <c r="S20" s="29"/>
      <c r="T20" s="29"/>
      <c r="U20" s="46"/>
      <c r="W20" s="47" t="s">
        <v>28</v>
      </c>
      <c r="X20" s="29">
        <v>5</v>
      </c>
      <c r="Y20" s="29"/>
      <c r="Z20" s="29"/>
      <c r="AA20" s="29"/>
      <c r="AB20" s="29"/>
      <c r="AC20" s="29"/>
      <c r="AD20" s="46"/>
    </row>
    <row r="21" spans="1:30" ht="15.75">
      <c r="A21" s="29">
        <v>7</v>
      </c>
      <c r="B21" s="67" t="s">
        <v>138</v>
      </c>
      <c r="C21" s="67">
        <v>1</v>
      </c>
      <c r="D21" s="67" t="str">
        <f t="shared" si="1"/>
        <v>JULIO1</v>
      </c>
      <c r="E21" s="68">
        <v>43335</v>
      </c>
      <c r="F21" s="68">
        <v>43700</v>
      </c>
      <c r="G21" s="66">
        <v>44068</v>
      </c>
      <c r="H21" s="66">
        <v>44418</v>
      </c>
      <c r="I21" s="66">
        <v>44782</v>
      </c>
      <c r="J21" s="66">
        <v>45147</v>
      </c>
      <c r="K21" s="5">
        <v>45516</v>
      </c>
      <c r="L21" s="70">
        <v>45881</v>
      </c>
      <c r="N21" s="42" t="s">
        <v>128</v>
      </c>
      <c r="O21" s="43">
        <v>3</v>
      </c>
      <c r="P21" s="29"/>
      <c r="Q21" s="29"/>
      <c r="R21" s="29"/>
      <c r="S21" s="29"/>
      <c r="T21" s="29"/>
      <c r="U21" s="46"/>
      <c r="W21" s="45" t="s">
        <v>150</v>
      </c>
      <c r="X21" s="29">
        <v>6</v>
      </c>
      <c r="Y21" s="29"/>
      <c r="Z21" s="29"/>
      <c r="AA21" s="29"/>
      <c r="AB21" s="29"/>
      <c r="AC21" s="29"/>
      <c r="AD21" s="46"/>
    </row>
    <row r="22" spans="1:30" ht="15.75">
      <c r="A22" s="29">
        <v>8</v>
      </c>
      <c r="B22" s="67" t="s">
        <v>139</v>
      </c>
      <c r="C22" s="67">
        <v>1</v>
      </c>
      <c r="D22" s="67" t="str">
        <f t="shared" si="1"/>
        <v>AGOSTO1</v>
      </c>
      <c r="E22" s="68">
        <v>43367</v>
      </c>
      <c r="F22" s="68">
        <v>43731</v>
      </c>
      <c r="G22" s="66">
        <v>44095</v>
      </c>
      <c r="H22" s="66">
        <v>44447</v>
      </c>
      <c r="I22" s="66">
        <v>44811</v>
      </c>
      <c r="J22" s="66">
        <v>45176</v>
      </c>
      <c r="K22" s="5">
        <v>45545</v>
      </c>
      <c r="L22" s="70">
        <v>45909</v>
      </c>
      <c r="N22" s="45" t="s">
        <v>148</v>
      </c>
      <c r="O22" s="29">
        <v>3</v>
      </c>
      <c r="P22" s="29"/>
      <c r="Q22" s="29"/>
      <c r="R22" s="29"/>
      <c r="S22" s="29"/>
      <c r="T22" s="29"/>
      <c r="U22" s="46"/>
      <c r="W22" s="45" t="s">
        <v>27</v>
      </c>
      <c r="X22" s="29">
        <v>6</v>
      </c>
      <c r="Y22" s="29"/>
      <c r="Z22" s="29"/>
      <c r="AA22" s="29"/>
      <c r="AB22" s="29"/>
      <c r="AC22" s="29"/>
      <c r="AD22" s="46"/>
    </row>
    <row r="23" spans="1:30" ht="31.5">
      <c r="A23" s="29">
        <v>9</v>
      </c>
      <c r="B23" s="67" t="s">
        <v>140</v>
      </c>
      <c r="C23" s="67">
        <v>1</v>
      </c>
      <c r="D23" s="67" t="str">
        <f t="shared" si="1"/>
        <v>SEPTIEMBRE1</v>
      </c>
      <c r="E23" s="68">
        <v>43396</v>
      </c>
      <c r="F23" s="68">
        <v>43760</v>
      </c>
      <c r="G23" s="66">
        <v>44124</v>
      </c>
      <c r="H23" s="66">
        <v>44476</v>
      </c>
      <c r="I23" s="66">
        <v>44841</v>
      </c>
      <c r="J23" s="66">
        <v>45209</v>
      </c>
      <c r="K23" s="5">
        <v>45574</v>
      </c>
      <c r="L23" s="70">
        <v>45939</v>
      </c>
      <c r="N23" s="45" t="s">
        <v>50</v>
      </c>
      <c r="O23" s="29">
        <v>3</v>
      </c>
      <c r="P23" s="29"/>
      <c r="Q23" s="29"/>
      <c r="R23" s="29"/>
      <c r="S23" s="29"/>
      <c r="T23" s="29"/>
      <c r="U23" s="46"/>
      <c r="W23" s="47" t="s">
        <v>28</v>
      </c>
      <c r="X23" s="29">
        <v>6</v>
      </c>
      <c r="Y23" s="29"/>
      <c r="Z23" s="29"/>
      <c r="AA23" s="29"/>
      <c r="AB23" s="29"/>
      <c r="AC23" s="29"/>
      <c r="AD23" s="46"/>
    </row>
    <row r="24" spans="1:30" ht="15.75">
      <c r="A24" s="29">
        <v>10</v>
      </c>
      <c r="B24" s="67" t="s">
        <v>141</v>
      </c>
      <c r="C24" s="67">
        <v>1</v>
      </c>
      <c r="D24" s="67" t="str">
        <f t="shared" si="1"/>
        <v>OCTUBRE1</v>
      </c>
      <c r="E24" s="68">
        <v>43427</v>
      </c>
      <c r="F24" s="68">
        <v>43794</v>
      </c>
      <c r="G24" s="66">
        <v>44159</v>
      </c>
      <c r="H24" s="66">
        <v>44509</v>
      </c>
      <c r="I24" s="66">
        <v>44874</v>
      </c>
      <c r="J24" s="66">
        <v>45238</v>
      </c>
      <c r="K24" s="5">
        <v>45609</v>
      </c>
      <c r="L24" s="70">
        <v>45973</v>
      </c>
      <c r="N24" s="45" t="s">
        <v>129</v>
      </c>
      <c r="O24" s="29">
        <v>3</v>
      </c>
      <c r="P24" s="29"/>
      <c r="Q24" s="29"/>
      <c r="R24" s="29"/>
      <c r="S24" s="29"/>
      <c r="T24" s="29"/>
      <c r="U24" s="46"/>
      <c r="W24" s="45" t="s">
        <v>150</v>
      </c>
      <c r="X24" s="29">
        <v>7</v>
      </c>
      <c r="Y24" s="29"/>
      <c r="Z24" s="29"/>
      <c r="AA24" s="29"/>
      <c r="AB24" s="29"/>
      <c r="AC24" s="29"/>
      <c r="AD24" s="46"/>
    </row>
    <row r="25" spans="1:30" ht="31.5">
      <c r="A25" s="29">
        <v>11</v>
      </c>
      <c r="B25" s="67" t="s">
        <v>142</v>
      </c>
      <c r="C25" s="67">
        <v>1</v>
      </c>
      <c r="D25" s="67" t="str">
        <f t="shared" si="1"/>
        <v>NOVIEMBRE1</v>
      </c>
      <c r="E25" s="68">
        <v>43455</v>
      </c>
      <c r="F25" s="68">
        <v>43822</v>
      </c>
      <c r="G25" s="66">
        <v>44188</v>
      </c>
      <c r="H25" s="66">
        <v>44540</v>
      </c>
      <c r="I25" s="66">
        <v>44907</v>
      </c>
      <c r="J25" s="66">
        <v>45271</v>
      </c>
      <c r="K25" s="5">
        <v>45636</v>
      </c>
      <c r="L25" s="70">
        <v>46001</v>
      </c>
      <c r="N25" s="47" t="s">
        <v>47</v>
      </c>
      <c r="O25" s="29">
        <v>3</v>
      </c>
      <c r="P25" s="29"/>
      <c r="Q25" s="29"/>
      <c r="R25" s="29"/>
      <c r="S25" s="29"/>
      <c r="T25" s="29"/>
      <c r="U25" s="46"/>
      <c r="W25" s="45" t="s">
        <v>27</v>
      </c>
      <c r="X25" s="29">
        <v>7</v>
      </c>
      <c r="Y25" s="29"/>
      <c r="Z25" s="29"/>
      <c r="AA25" s="29"/>
      <c r="AB25" s="29"/>
      <c r="AC25" s="29"/>
      <c r="AD25" s="46"/>
    </row>
    <row r="26" spans="1:30" ht="31.5">
      <c r="A26" s="29">
        <v>12</v>
      </c>
      <c r="B26" s="67" t="s">
        <v>143</v>
      </c>
      <c r="C26" s="67">
        <v>1</v>
      </c>
      <c r="D26" s="67" t="str">
        <f t="shared" si="1"/>
        <v>DICIEMBRE1</v>
      </c>
      <c r="E26" s="68">
        <v>43489</v>
      </c>
      <c r="F26" s="68">
        <v>43853</v>
      </c>
      <c r="G26" s="66">
        <v>44222</v>
      </c>
      <c r="H26" s="66">
        <v>44573</v>
      </c>
      <c r="I26" s="66">
        <v>44937</v>
      </c>
      <c r="J26" s="66">
        <v>45301</v>
      </c>
      <c r="K26" s="5">
        <v>45670</v>
      </c>
      <c r="L26" s="70">
        <v>46035</v>
      </c>
      <c r="N26" s="47" t="s">
        <v>48</v>
      </c>
      <c r="O26" s="29">
        <v>3</v>
      </c>
      <c r="P26" s="29"/>
      <c r="Q26" s="29"/>
      <c r="R26" s="29"/>
      <c r="S26" s="29"/>
      <c r="T26" s="29"/>
      <c r="U26" s="46"/>
      <c r="W26" s="47" t="s">
        <v>28</v>
      </c>
      <c r="X26" s="29">
        <v>7</v>
      </c>
      <c r="Y26" s="29"/>
      <c r="Z26" s="29"/>
      <c r="AA26" s="29"/>
      <c r="AB26" s="29"/>
      <c r="AC26" s="29"/>
      <c r="AD26" s="46"/>
    </row>
    <row r="27" spans="1:30" ht="15.75">
      <c r="A27" s="29">
        <v>1</v>
      </c>
      <c r="B27" s="67" t="s">
        <v>132</v>
      </c>
      <c r="C27" s="67">
        <v>2</v>
      </c>
      <c r="D27" s="67" t="str">
        <f t="shared" si="1"/>
        <v>ENERO2</v>
      </c>
      <c r="E27" s="68">
        <v>43151</v>
      </c>
      <c r="F27" s="68">
        <v>43516</v>
      </c>
      <c r="G27" s="66">
        <v>43882</v>
      </c>
      <c r="H27" s="66">
        <v>44237</v>
      </c>
      <c r="I27" s="66">
        <v>44601</v>
      </c>
      <c r="J27" s="66">
        <v>44965</v>
      </c>
      <c r="K27" s="5">
        <v>45334</v>
      </c>
      <c r="L27" s="70">
        <v>45700</v>
      </c>
      <c r="N27" s="45" t="s">
        <v>128</v>
      </c>
      <c r="O27" s="29">
        <v>4</v>
      </c>
      <c r="P27" s="29"/>
      <c r="Q27" s="29"/>
      <c r="R27" s="29"/>
      <c r="S27" s="29"/>
      <c r="T27" s="29"/>
      <c r="U27" s="46"/>
      <c r="W27" s="45" t="s">
        <v>150</v>
      </c>
      <c r="X27" s="29">
        <v>8</v>
      </c>
      <c r="Y27" s="29"/>
      <c r="Z27" s="29"/>
      <c r="AA27" s="29"/>
      <c r="AB27" s="29"/>
      <c r="AC27" s="29"/>
      <c r="AD27" s="46"/>
    </row>
    <row r="28" spans="1:30" ht="15.75">
      <c r="A28" s="29">
        <v>2</v>
      </c>
      <c r="B28" s="67" t="s">
        <v>133</v>
      </c>
      <c r="C28" s="67">
        <v>2</v>
      </c>
      <c r="D28" s="67" t="str">
        <f t="shared" si="1"/>
        <v>FEBRERO2</v>
      </c>
      <c r="E28" s="68">
        <v>43180</v>
      </c>
      <c r="F28" s="68">
        <v>43544</v>
      </c>
      <c r="G28" s="66">
        <v>43910</v>
      </c>
      <c r="H28" s="66">
        <v>44265</v>
      </c>
      <c r="I28" s="66">
        <v>44629</v>
      </c>
      <c r="J28" s="66">
        <v>44993</v>
      </c>
      <c r="K28" s="5">
        <v>45363</v>
      </c>
      <c r="L28" s="70">
        <v>45728</v>
      </c>
      <c r="N28" s="45" t="s">
        <v>148</v>
      </c>
      <c r="O28" s="29">
        <v>4</v>
      </c>
      <c r="P28" s="29"/>
      <c r="Q28" s="29"/>
      <c r="R28" s="29"/>
      <c r="S28" s="29"/>
      <c r="T28" s="29"/>
      <c r="U28" s="46"/>
      <c r="W28" s="45" t="s">
        <v>27</v>
      </c>
      <c r="X28" s="29">
        <v>8</v>
      </c>
      <c r="Y28" s="29"/>
      <c r="Z28" s="29"/>
      <c r="AA28" s="29"/>
      <c r="AB28" s="29"/>
      <c r="AC28" s="29"/>
      <c r="AD28" s="46"/>
    </row>
    <row r="29" spans="1:30" ht="30">
      <c r="A29" s="29">
        <v>3</v>
      </c>
      <c r="B29" s="67" t="s">
        <v>134</v>
      </c>
      <c r="C29" s="67">
        <v>2</v>
      </c>
      <c r="D29" s="67" t="str">
        <f t="shared" si="1"/>
        <v>MARZO2</v>
      </c>
      <c r="E29" s="68">
        <v>43210</v>
      </c>
      <c r="F29" s="68">
        <v>43579</v>
      </c>
      <c r="G29" s="66">
        <v>43945</v>
      </c>
      <c r="H29" s="66">
        <v>44299</v>
      </c>
      <c r="I29" s="66">
        <v>44659</v>
      </c>
      <c r="J29" s="66">
        <v>45027</v>
      </c>
      <c r="K29" s="5">
        <v>45392</v>
      </c>
      <c r="L29" s="70">
        <v>45757</v>
      </c>
      <c r="N29" s="45" t="s">
        <v>50</v>
      </c>
      <c r="O29" s="29">
        <v>4</v>
      </c>
      <c r="P29" s="29"/>
      <c r="Q29" s="29"/>
      <c r="R29" s="29"/>
      <c r="S29" s="29"/>
      <c r="T29" s="29"/>
      <c r="U29" s="46"/>
      <c r="W29" s="47" t="s">
        <v>28</v>
      </c>
      <c r="X29" s="29">
        <v>8</v>
      </c>
      <c r="Y29" s="29"/>
      <c r="Z29" s="29"/>
      <c r="AA29" s="29"/>
      <c r="AB29" s="29"/>
      <c r="AC29" s="29"/>
      <c r="AD29" s="46"/>
    </row>
    <row r="30" spans="1:30" ht="15.75">
      <c r="A30" s="29">
        <v>4</v>
      </c>
      <c r="B30" s="67" t="s">
        <v>135</v>
      </c>
      <c r="C30" s="67">
        <v>2</v>
      </c>
      <c r="D30" s="67" t="str">
        <f t="shared" si="1"/>
        <v>ABRIL2</v>
      </c>
      <c r="E30" s="68">
        <v>43242</v>
      </c>
      <c r="F30" s="68">
        <v>43606</v>
      </c>
      <c r="G30" s="66">
        <v>43973</v>
      </c>
      <c r="H30" s="66">
        <v>44327</v>
      </c>
      <c r="I30" s="66">
        <v>44692</v>
      </c>
      <c r="J30" s="66">
        <v>45056</v>
      </c>
      <c r="K30" s="5">
        <v>45426</v>
      </c>
      <c r="L30" s="70">
        <v>45790</v>
      </c>
      <c r="N30" s="45" t="s">
        <v>129</v>
      </c>
      <c r="O30" s="29">
        <v>4</v>
      </c>
      <c r="P30" s="29"/>
      <c r="Q30" s="29"/>
      <c r="R30" s="29"/>
      <c r="S30" s="29"/>
      <c r="T30" s="29"/>
      <c r="U30" s="46"/>
      <c r="W30" s="45" t="s">
        <v>150</v>
      </c>
      <c r="X30" s="29">
        <v>9</v>
      </c>
      <c r="Y30" s="29"/>
      <c r="Z30" s="29"/>
      <c r="AA30" s="29"/>
      <c r="AB30" s="29"/>
      <c r="AC30" s="29"/>
      <c r="AD30" s="46"/>
    </row>
    <row r="31" spans="1:30" ht="30">
      <c r="A31" s="29">
        <v>5</v>
      </c>
      <c r="B31" s="67" t="s">
        <v>136</v>
      </c>
      <c r="C31" s="67">
        <v>2</v>
      </c>
      <c r="D31" s="67" t="str">
        <f t="shared" si="1"/>
        <v>MAYO2</v>
      </c>
      <c r="E31" s="68">
        <v>43276</v>
      </c>
      <c r="F31" s="68">
        <v>43637</v>
      </c>
      <c r="G31" s="66">
        <v>44005</v>
      </c>
      <c r="H31" s="66">
        <v>44357</v>
      </c>
      <c r="I31" s="66">
        <v>44720</v>
      </c>
      <c r="J31" s="66">
        <v>45085</v>
      </c>
      <c r="K31" s="5">
        <v>45457</v>
      </c>
      <c r="L31" s="70">
        <v>45820</v>
      </c>
      <c r="N31" s="47" t="s">
        <v>47</v>
      </c>
      <c r="O31" s="29">
        <v>4</v>
      </c>
      <c r="P31" s="29"/>
      <c r="Q31" s="29"/>
      <c r="R31" s="29"/>
      <c r="S31" s="29"/>
      <c r="T31" s="29"/>
      <c r="U31" s="46"/>
      <c r="W31" s="45" t="s">
        <v>27</v>
      </c>
      <c r="X31" s="29">
        <v>9</v>
      </c>
      <c r="Y31" s="29"/>
      <c r="Z31" s="29"/>
      <c r="AA31" s="29"/>
      <c r="AB31" s="29"/>
      <c r="AC31" s="29"/>
      <c r="AD31" s="46"/>
    </row>
    <row r="32" spans="1:30" ht="30.75" thickBot="1">
      <c r="A32" s="29">
        <v>6</v>
      </c>
      <c r="B32" s="67" t="s">
        <v>137</v>
      </c>
      <c r="C32" s="67">
        <v>2</v>
      </c>
      <c r="D32" s="67" t="str">
        <f t="shared" si="1"/>
        <v>JUNIO2</v>
      </c>
      <c r="E32" s="68">
        <v>43304</v>
      </c>
      <c r="F32" s="68">
        <v>43665</v>
      </c>
      <c r="G32" s="66">
        <v>44029</v>
      </c>
      <c r="H32" s="66">
        <v>44386</v>
      </c>
      <c r="I32" s="66">
        <v>44753</v>
      </c>
      <c r="J32" s="66">
        <v>45117</v>
      </c>
      <c r="K32" s="5">
        <v>45484</v>
      </c>
      <c r="L32" s="70">
        <v>45848</v>
      </c>
      <c r="N32" s="47" t="s">
        <v>48</v>
      </c>
      <c r="O32" s="29">
        <v>4</v>
      </c>
      <c r="P32" s="29"/>
      <c r="Q32" s="29"/>
      <c r="R32" s="29"/>
      <c r="S32" s="29"/>
      <c r="T32" s="29"/>
      <c r="U32" s="46"/>
      <c r="W32" s="48" t="s">
        <v>28</v>
      </c>
      <c r="X32" s="49">
        <v>9</v>
      </c>
      <c r="Y32" s="49"/>
      <c r="Z32" s="49"/>
      <c r="AA32" s="49"/>
      <c r="AB32" s="49"/>
      <c r="AC32" s="49"/>
      <c r="AD32" s="50"/>
    </row>
    <row r="33" spans="1:21" ht="15.75">
      <c r="A33" s="29">
        <v>7</v>
      </c>
      <c r="B33" s="67" t="s">
        <v>138</v>
      </c>
      <c r="C33" s="67">
        <v>2</v>
      </c>
      <c r="D33" s="67" t="str">
        <f t="shared" si="1"/>
        <v>JULIO2</v>
      </c>
      <c r="E33" s="68">
        <v>43334</v>
      </c>
      <c r="F33" s="68">
        <v>43699</v>
      </c>
      <c r="G33" s="66">
        <v>44067</v>
      </c>
      <c r="H33" s="66">
        <v>44419</v>
      </c>
      <c r="I33" s="66">
        <v>44783</v>
      </c>
      <c r="J33" s="66">
        <v>45148</v>
      </c>
      <c r="K33" s="5">
        <v>45517</v>
      </c>
      <c r="L33" s="70">
        <v>45882</v>
      </c>
      <c r="N33" s="45" t="s">
        <v>128</v>
      </c>
      <c r="O33" s="29">
        <v>5</v>
      </c>
      <c r="P33" s="29"/>
      <c r="Q33" s="29"/>
      <c r="R33" s="29"/>
      <c r="S33" s="29"/>
      <c r="T33" s="29"/>
      <c r="U33" s="46"/>
    </row>
    <row r="34" spans="1:21" ht="15.75">
      <c r="A34" s="29">
        <v>8</v>
      </c>
      <c r="B34" s="67" t="s">
        <v>139</v>
      </c>
      <c r="C34" s="67">
        <v>2</v>
      </c>
      <c r="D34" s="67" t="str">
        <f t="shared" si="1"/>
        <v>AGOSTO2</v>
      </c>
      <c r="E34" s="68">
        <v>43364</v>
      </c>
      <c r="F34" s="68">
        <v>43728</v>
      </c>
      <c r="G34" s="66">
        <v>44092</v>
      </c>
      <c r="H34" s="66">
        <v>44448</v>
      </c>
      <c r="I34" s="66">
        <v>44812</v>
      </c>
      <c r="J34" s="66">
        <v>45177</v>
      </c>
      <c r="K34" s="5">
        <v>45546</v>
      </c>
      <c r="L34" s="70">
        <v>45910</v>
      </c>
      <c r="N34" s="45" t="s">
        <v>148</v>
      </c>
      <c r="O34" s="29">
        <v>5</v>
      </c>
      <c r="P34" s="29"/>
      <c r="Q34" s="29"/>
      <c r="R34" s="29"/>
      <c r="S34" s="29"/>
      <c r="T34" s="29"/>
      <c r="U34" s="46"/>
    </row>
    <row r="35" spans="1:21" ht="31.5">
      <c r="A35" s="29">
        <v>9</v>
      </c>
      <c r="B35" s="67" t="s">
        <v>140</v>
      </c>
      <c r="C35" s="67">
        <v>2</v>
      </c>
      <c r="D35" s="67" t="str">
        <f t="shared" si="1"/>
        <v>SEPTIEMBRE2</v>
      </c>
      <c r="E35" s="68">
        <v>43395</v>
      </c>
      <c r="F35" s="68">
        <v>43759</v>
      </c>
      <c r="G35" s="66">
        <v>44123</v>
      </c>
      <c r="H35" s="66">
        <v>44477</v>
      </c>
      <c r="I35" s="66">
        <v>44844</v>
      </c>
      <c r="J35" s="66">
        <v>45210</v>
      </c>
      <c r="K35" s="5">
        <v>45575</v>
      </c>
      <c r="L35" s="70">
        <v>45940</v>
      </c>
      <c r="N35" s="45" t="s">
        <v>50</v>
      </c>
      <c r="O35" s="29">
        <v>5</v>
      </c>
      <c r="P35" s="29"/>
      <c r="Q35" s="29"/>
      <c r="R35" s="29"/>
      <c r="S35" s="29"/>
      <c r="T35" s="29"/>
      <c r="U35" s="46"/>
    </row>
    <row r="36" spans="1:21" ht="15.75">
      <c r="A36" s="29">
        <v>10</v>
      </c>
      <c r="B36" s="67" t="s">
        <v>141</v>
      </c>
      <c r="C36" s="67">
        <v>2</v>
      </c>
      <c r="D36" s="67" t="str">
        <f t="shared" si="1"/>
        <v>OCTUBRE2</v>
      </c>
      <c r="E36" s="68">
        <v>43426</v>
      </c>
      <c r="F36" s="68">
        <v>43791</v>
      </c>
      <c r="G36" s="66">
        <v>44158</v>
      </c>
      <c r="H36" s="66">
        <v>44510</v>
      </c>
      <c r="I36" s="66">
        <v>44875</v>
      </c>
      <c r="J36" s="66">
        <v>45239</v>
      </c>
      <c r="K36" s="5">
        <v>45610</v>
      </c>
      <c r="L36" s="70">
        <v>45974</v>
      </c>
      <c r="N36" s="45" t="s">
        <v>129</v>
      </c>
      <c r="O36" s="29">
        <v>5</v>
      </c>
      <c r="P36" s="29"/>
      <c r="Q36" s="29"/>
      <c r="R36" s="29"/>
      <c r="S36" s="29"/>
      <c r="T36" s="29"/>
      <c r="U36" s="46"/>
    </row>
    <row r="37" spans="1:21" ht="31.5">
      <c r="A37" s="29">
        <v>11</v>
      </c>
      <c r="B37" s="67" t="s">
        <v>142</v>
      </c>
      <c r="C37" s="67">
        <v>2</v>
      </c>
      <c r="D37" s="67" t="str">
        <f t="shared" si="1"/>
        <v>NOVIEMBRE2</v>
      </c>
      <c r="E37" s="68">
        <v>43454</v>
      </c>
      <c r="F37" s="68">
        <v>43819</v>
      </c>
      <c r="G37" s="66">
        <v>44187</v>
      </c>
      <c r="H37" s="66">
        <v>44543</v>
      </c>
      <c r="I37" s="66">
        <v>44908</v>
      </c>
      <c r="J37" s="66">
        <v>45272</v>
      </c>
      <c r="K37" s="5">
        <v>45637</v>
      </c>
      <c r="L37" s="70">
        <v>46002</v>
      </c>
      <c r="N37" s="47" t="s">
        <v>47</v>
      </c>
      <c r="O37" s="29">
        <v>5</v>
      </c>
      <c r="P37" s="29"/>
      <c r="Q37" s="29"/>
      <c r="R37" s="29"/>
      <c r="S37" s="29"/>
      <c r="T37" s="29"/>
      <c r="U37" s="46"/>
    </row>
    <row r="38" spans="1:21" ht="31.5">
      <c r="A38" s="29">
        <v>12</v>
      </c>
      <c r="B38" s="67" t="s">
        <v>143</v>
      </c>
      <c r="C38" s="67">
        <v>2</v>
      </c>
      <c r="D38" s="67" t="str">
        <f t="shared" si="1"/>
        <v>DICIEMBRE2</v>
      </c>
      <c r="E38" s="68">
        <v>43488</v>
      </c>
      <c r="F38" s="68">
        <v>43852</v>
      </c>
      <c r="G38" s="66">
        <v>44221</v>
      </c>
      <c r="H38" s="66">
        <v>44574</v>
      </c>
      <c r="I38" s="66">
        <v>44938</v>
      </c>
      <c r="J38" s="66">
        <v>45302</v>
      </c>
      <c r="K38" s="5">
        <v>45671</v>
      </c>
      <c r="L38" s="70">
        <v>46036</v>
      </c>
      <c r="N38" s="47" t="s">
        <v>48</v>
      </c>
      <c r="O38" s="29">
        <v>5</v>
      </c>
      <c r="P38" s="29"/>
      <c r="Q38" s="29"/>
      <c r="R38" s="29"/>
      <c r="S38" s="29"/>
      <c r="T38" s="29"/>
      <c r="U38" s="46"/>
    </row>
    <row r="39" spans="1:21" ht="15.75">
      <c r="A39" s="29">
        <v>1</v>
      </c>
      <c r="B39" s="67" t="s">
        <v>132</v>
      </c>
      <c r="C39" s="67">
        <v>3</v>
      </c>
      <c r="D39" s="67" t="str">
        <f t="shared" si="1"/>
        <v>ENERO3</v>
      </c>
      <c r="E39" s="68">
        <v>43150</v>
      </c>
      <c r="F39" s="68">
        <v>43515</v>
      </c>
      <c r="G39" s="66">
        <v>43881</v>
      </c>
      <c r="H39" s="66">
        <v>44238</v>
      </c>
      <c r="I39" s="66">
        <v>44602</v>
      </c>
      <c r="J39" s="66">
        <v>44966</v>
      </c>
      <c r="K39" s="5">
        <v>45335</v>
      </c>
      <c r="L39" s="70">
        <v>45701</v>
      </c>
      <c r="N39" s="45" t="s">
        <v>128</v>
      </c>
      <c r="O39" s="29">
        <v>6</v>
      </c>
      <c r="P39" s="29"/>
      <c r="Q39" s="29"/>
      <c r="R39" s="29"/>
      <c r="S39" s="29"/>
      <c r="T39" s="29"/>
      <c r="U39" s="46"/>
    </row>
    <row r="40" spans="1:21" ht="15.75">
      <c r="A40" s="29">
        <v>2</v>
      </c>
      <c r="B40" s="67" t="s">
        <v>133</v>
      </c>
      <c r="C40" s="67">
        <v>3</v>
      </c>
      <c r="D40" s="67" t="str">
        <f t="shared" si="1"/>
        <v>FEBRERO3</v>
      </c>
      <c r="E40" s="68">
        <v>43179</v>
      </c>
      <c r="F40" s="68">
        <v>43543</v>
      </c>
      <c r="G40" s="66">
        <v>43909</v>
      </c>
      <c r="H40" s="66">
        <v>44266</v>
      </c>
      <c r="I40" s="66">
        <v>44630</v>
      </c>
      <c r="J40" s="66">
        <v>44994</v>
      </c>
      <c r="K40" s="5">
        <v>45364</v>
      </c>
      <c r="L40" s="70">
        <v>45729</v>
      </c>
      <c r="N40" s="45" t="s">
        <v>148</v>
      </c>
      <c r="O40" s="29">
        <v>6</v>
      </c>
      <c r="P40" s="29"/>
      <c r="Q40" s="29"/>
      <c r="R40" s="29"/>
      <c r="S40" s="29"/>
      <c r="T40" s="29"/>
      <c r="U40" s="46"/>
    </row>
    <row r="41" spans="1:21" ht="15.75">
      <c r="A41" s="29">
        <v>3</v>
      </c>
      <c r="B41" s="67" t="s">
        <v>134</v>
      </c>
      <c r="C41" s="67">
        <v>3</v>
      </c>
      <c r="D41" s="67" t="str">
        <f t="shared" si="1"/>
        <v>MARZO3</v>
      </c>
      <c r="E41" s="68">
        <v>43209</v>
      </c>
      <c r="F41" s="68">
        <v>43578</v>
      </c>
      <c r="G41" s="66">
        <v>43944</v>
      </c>
      <c r="H41" s="66">
        <v>44300</v>
      </c>
      <c r="I41" s="66">
        <v>44662</v>
      </c>
      <c r="J41" s="66">
        <v>45028</v>
      </c>
      <c r="K41" s="5">
        <v>45393</v>
      </c>
      <c r="L41" s="70">
        <v>45758</v>
      </c>
      <c r="N41" s="45" t="s">
        <v>50</v>
      </c>
      <c r="O41" s="29">
        <v>6</v>
      </c>
      <c r="P41" s="29"/>
      <c r="Q41" s="29"/>
      <c r="R41" s="29"/>
      <c r="S41" s="29"/>
      <c r="T41" s="29"/>
      <c r="U41" s="46"/>
    </row>
    <row r="42" spans="1:21" ht="15.75">
      <c r="A42" s="29">
        <v>4</v>
      </c>
      <c r="B42" s="67" t="s">
        <v>135</v>
      </c>
      <c r="C42" s="67">
        <v>3</v>
      </c>
      <c r="D42" s="67" t="str">
        <f t="shared" si="1"/>
        <v>ABRIL3</v>
      </c>
      <c r="E42" s="68">
        <v>43241</v>
      </c>
      <c r="F42" s="68">
        <v>43605</v>
      </c>
      <c r="G42" s="66">
        <v>43972</v>
      </c>
      <c r="H42" s="66">
        <v>44328</v>
      </c>
      <c r="I42" s="66">
        <v>44693</v>
      </c>
      <c r="J42" s="66">
        <v>45057</v>
      </c>
      <c r="K42" s="5">
        <v>45427</v>
      </c>
      <c r="L42" s="70">
        <v>45791</v>
      </c>
      <c r="N42" s="45" t="s">
        <v>129</v>
      </c>
      <c r="O42" s="29">
        <v>6</v>
      </c>
      <c r="P42" s="29"/>
      <c r="Q42" s="29"/>
      <c r="R42" s="29"/>
      <c r="S42" s="29"/>
      <c r="T42" s="29"/>
      <c r="U42" s="46"/>
    </row>
    <row r="43" spans="1:21" ht="30">
      <c r="A43" s="29">
        <v>5</v>
      </c>
      <c r="B43" s="67" t="s">
        <v>136</v>
      </c>
      <c r="C43" s="67">
        <v>3</v>
      </c>
      <c r="D43" s="67" t="str">
        <f t="shared" si="1"/>
        <v>MAYO3</v>
      </c>
      <c r="E43" s="68">
        <v>43273</v>
      </c>
      <c r="F43" s="68">
        <v>43636</v>
      </c>
      <c r="G43" s="66">
        <v>44001</v>
      </c>
      <c r="H43" s="66">
        <v>44358</v>
      </c>
      <c r="I43" s="66">
        <v>44721</v>
      </c>
      <c r="J43" s="66">
        <v>45086</v>
      </c>
      <c r="K43" s="5">
        <v>45460</v>
      </c>
      <c r="L43" s="70">
        <v>45821</v>
      </c>
      <c r="N43" s="47" t="s">
        <v>47</v>
      </c>
      <c r="O43" s="29">
        <v>6</v>
      </c>
      <c r="P43" s="29"/>
      <c r="Q43" s="29"/>
      <c r="R43" s="29"/>
      <c r="S43" s="29"/>
      <c r="T43" s="29"/>
      <c r="U43" s="46"/>
    </row>
    <row r="44" spans="1:21" ht="30">
      <c r="A44" s="29">
        <v>6</v>
      </c>
      <c r="B44" s="67" t="s">
        <v>137</v>
      </c>
      <c r="C44" s="67">
        <v>3</v>
      </c>
      <c r="D44" s="67" t="str">
        <f t="shared" si="1"/>
        <v>JUNIO3</v>
      </c>
      <c r="E44" s="68">
        <v>43300</v>
      </c>
      <c r="F44" s="68">
        <v>43664</v>
      </c>
      <c r="G44" s="66">
        <v>44028</v>
      </c>
      <c r="H44" s="66">
        <v>44389</v>
      </c>
      <c r="I44" s="66">
        <v>44754</v>
      </c>
      <c r="J44" s="66">
        <v>45118</v>
      </c>
      <c r="K44" s="5">
        <v>45485</v>
      </c>
      <c r="L44" s="70">
        <v>45849</v>
      </c>
      <c r="N44" s="47" t="s">
        <v>48</v>
      </c>
      <c r="O44" s="29">
        <v>6</v>
      </c>
      <c r="P44" s="29"/>
      <c r="Q44" s="29"/>
      <c r="R44" s="29"/>
      <c r="S44" s="29"/>
      <c r="T44" s="29"/>
      <c r="U44" s="46"/>
    </row>
    <row r="45" spans="1:21" ht="15.75">
      <c r="A45" s="29">
        <v>7</v>
      </c>
      <c r="B45" s="67" t="s">
        <v>138</v>
      </c>
      <c r="C45" s="67">
        <v>3</v>
      </c>
      <c r="D45" s="67" t="str">
        <f t="shared" si="1"/>
        <v>JULIO3</v>
      </c>
      <c r="E45" s="68">
        <v>43333</v>
      </c>
      <c r="F45" s="68">
        <v>43698</v>
      </c>
      <c r="G45" s="66">
        <v>44064</v>
      </c>
      <c r="H45" s="66">
        <v>44420</v>
      </c>
      <c r="I45" s="66">
        <v>44784</v>
      </c>
      <c r="J45" s="66">
        <v>45149</v>
      </c>
      <c r="K45" s="5">
        <v>45518</v>
      </c>
      <c r="L45" s="70">
        <v>45883</v>
      </c>
      <c r="N45" s="45" t="s">
        <v>128</v>
      </c>
      <c r="O45" s="29">
        <v>7</v>
      </c>
      <c r="P45" s="29"/>
      <c r="Q45" s="29"/>
      <c r="R45" s="29"/>
      <c r="S45" s="29"/>
      <c r="T45" s="29"/>
      <c r="U45" s="46"/>
    </row>
    <row r="46" spans="1:21" ht="15.75">
      <c r="A46" s="29">
        <v>8</v>
      </c>
      <c r="B46" s="67" t="s">
        <v>139</v>
      </c>
      <c r="C46" s="67">
        <v>3</v>
      </c>
      <c r="D46" s="67" t="str">
        <f t="shared" si="1"/>
        <v>AGOSTO3</v>
      </c>
      <c r="E46" s="68">
        <v>43363</v>
      </c>
      <c r="F46" s="68">
        <v>43727</v>
      </c>
      <c r="G46" s="66">
        <v>44091</v>
      </c>
      <c r="H46" s="66">
        <v>44449</v>
      </c>
      <c r="I46" s="66">
        <v>44813</v>
      </c>
      <c r="J46" s="66">
        <v>45180</v>
      </c>
      <c r="K46" s="5">
        <v>45547</v>
      </c>
      <c r="L46" s="70">
        <v>45911</v>
      </c>
      <c r="N46" s="45" t="s">
        <v>148</v>
      </c>
      <c r="O46" s="29">
        <v>7</v>
      </c>
      <c r="P46" s="29"/>
      <c r="Q46" s="29"/>
      <c r="R46" s="29"/>
      <c r="S46" s="29"/>
      <c r="T46" s="29"/>
      <c r="U46" s="46"/>
    </row>
    <row r="47" spans="1:21" ht="31.5">
      <c r="A47" s="29">
        <v>9</v>
      </c>
      <c r="B47" s="67" t="s">
        <v>140</v>
      </c>
      <c r="C47" s="67">
        <v>3</v>
      </c>
      <c r="D47" s="67" t="str">
        <f t="shared" si="1"/>
        <v>SEPTIEMBRE3</v>
      </c>
      <c r="E47" s="68">
        <v>43392</v>
      </c>
      <c r="F47" s="68">
        <v>43756</v>
      </c>
      <c r="G47" s="66">
        <v>44120</v>
      </c>
      <c r="H47" s="66">
        <v>44480</v>
      </c>
      <c r="I47" s="66">
        <v>44845</v>
      </c>
      <c r="J47" s="66">
        <v>45211</v>
      </c>
      <c r="K47" s="5">
        <v>45576</v>
      </c>
      <c r="L47" s="70">
        <v>45944</v>
      </c>
      <c r="N47" s="45" t="s">
        <v>50</v>
      </c>
      <c r="O47" s="29">
        <v>7</v>
      </c>
      <c r="P47" s="29"/>
      <c r="Q47" s="29"/>
      <c r="R47" s="29"/>
      <c r="S47" s="29"/>
      <c r="T47" s="29"/>
      <c r="U47" s="46"/>
    </row>
    <row r="48" spans="1:21" ht="15.75">
      <c r="A48" s="29">
        <v>10</v>
      </c>
      <c r="B48" s="67" t="s">
        <v>141</v>
      </c>
      <c r="C48" s="67">
        <v>3</v>
      </c>
      <c r="D48" s="67" t="str">
        <f t="shared" si="1"/>
        <v>OCTUBRE3</v>
      </c>
      <c r="E48" s="68">
        <v>43425</v>
      </c>
      <c r="F48" s="68">
        <v>43790</v>
      </c>
      <c r="G48" s="66">
        <v>44155</v>
      </c>
      <c r="H48" s="66">
        <v>44511</v>
      </c>
      <c r="I48" s="66">
        <v>44876</v>
      </c>
      <c r="J48" s="66">
        <v>45240</v>
      </c>
      <c r="K48" s="5">
        <v>45611</v>
      </c>
      <c r="L48" s="70">
        <v>45975</v>
      </c>
      <c r="N48" s="45" t="s">
        <v>129</v>
      </c>
      <c r="O48" s="29">
        <v>7</v>
      </c>
      <c r="P48" s="29"/>
      <c r="Q48" s="29"/>
      <c r="R48" s="29"/>
      <c r="S48" s="29"/>
      <c r="T48" s="29"/>
      <c r="U48" s="46"/>
    </row>
    <row r="49" spans="1:21" ht="31.5">
      <c r="A49" s="29">
        <v>11</v>
      </c>
      <c r="B49" s="67" t="s">
        <v>142</v>
      </c>
      <c r="C49" s="67">
        <v>3</v>
      </c>
      <c r="D49" s="67" t="str">
        <f t="shared" si="1"/>
        <v>NOVIEMBRE3</v>
      </c>
      <c r="E49" s="68">
        <v>43453</v>
      </c>
      <c r="F49" s="68">
        <v>43818</v>
      </c>
      <c r="G49" s="66">
        <v>44186</v>
      </c>
      <c r="H49" s="66">
        <v>44544</v>
      </c>
      <c r="I49" s="66">
        <v>44909</v>
      </c>
      <c r="J49" s="66">
        <v>45273</v>
      </c>
      <c r="K49" s="5">
        <v>45638</v>
      </c>
      <c r="L49" s="70">
        <v>46003</v>
      </c>
      <c r="N49" s="47" t="s">
        <v>47</v>
      </c>
      <c r="O49" s="29">
        <v>7</v>
      </c>
      <c r="P49" s="29"/>
      <c r="Q49" s="29"/>
      <c r="R49" s="29"/>
      <c r="S49" s="29"/>
      <c r="T49" s="29"/>
      <c r="U49" s="46"/>
    </row>
    <row r="50" spans="1:21" ht="31.5">
      <c r="A50" s="29">
        <v>12</v>
      </c>
      <c r="B50" s="67" t="s">
        <v>143</v>
      </c>
      <c r="C50" s="67">
        <v>3</v>
      </c>
      <c r="D50" s="67" t="str">
        <f t="shared" si="1"/>
        <v>DICIEMBRE3</v>
      </c>
      <c r="E50" s="68">
        <v>43487</v>
      </c>
      <c r="F50" s="68">
        <v>43851</v>
      </c>
      <c r="G50" s="66">
        <v>44218</v>
      </c>
      <c r="H50" s="66">
        <v>44575</v>
      </c>
      <c r="I50" s="66">
        <v>44939</v>
      </c>
      <c r="J50" s="66">
        <v>45303</v>
      </c>
      <c r="K50" s="5">
        <v>45672</v>
      </c>
      <c r="L50" s="70">
        <v>46037</v>
      </c>
      <c r="N50" s="47" t="s">
        <v>48</v>
      </c>
      <c r="O50" s="29">
        <v>7</v>
      </c>
      <c r="P50" s="29"/>
      <c r="Q50" s="29"/>
      <c r="R50" s="29"/>
      <c r="S50" s="29"/>
      <c r="T50" s="29"/>
      <c r="U50" s="46"/>
    </row>
    <row r="51" spans="1:21" ht="15.75">
      <c r="A51" s="29">
        <v>1</v>
      </c>
      <c r="B51" s="67" t="s">
        <v>132</v>
      </c>
      <c r="C51" s="67">
        <v>4</v>
      </c>
      <c r="D51" s="67" t="str">
        <f t="shared" si="1"/>
        <v>ENERO4</v>
      </c>
      <c r="E51" s="68">
        <v>43147</v>
      </c>
      <c r="F51" s="68">
        <v>43514</v>
      </c>
      <c r="G51" s="66">
        <v>43880</v>
      </c>
      <c r="H51" s="66">
        <v>44239</v>
      </c>
      <c r="I51" s="66">
        <v>44603</v>
      </c>
      <c r="J51" s="66">
        <v>44967</v>
      </c>
      <c r="K51" s="5">
        <v>45336</v>
      </c>
      <c r="L51" s="70">
        <v>45702</v>
      </c>
      <c r="N51" s="45" t="s">
        <v>128</v>
      </c>
      <c r="O51" s="29">
        <v>8</v>
      </c>
      <c r="P51" s="29"/>
      <c r="Q51" s="29"/>
      <c r="R51" s="29"/>
      <c r="S51" s="29"/>
      <c r="T51" s="29"/>
      <c r="U51" s="46"/>
    </row>
    <row r="52" spans="1:21" ht="15.75">
      <c r="A52" s="29">
        <v>2</v>
      </c>
      <c r="B52" s="67" t="s">
        <v>133</v>
      </c>
      <c r="C52" s="67">
        <v>4</v>
      </c>
      <c r="D52" s="67" t="str">
        <f t="shared" si="1"/>
        <v>FEBRERO4</v>
      </c>
      <c r="E52" s="68">
        <v>43175</v>
      </c>
      <c r="F52" s="68">
        <v>43542</v>
      </c>
      <c r="G52" s="66">
        <v>43908</v>
      </c>
      <c r="H52" s="66">
        <v>44267</v>
      </c>
      <c r="I52" s="66">
        <v>44631</v>
      </c>
      <c r="J52" s="66">
        <v>44995</v>
      </c>
      <c r="K52" s="5">
        <v>45365</v>
      </c>
      <c r="L52" s="70">
        <v>45730</v>
      </c>
      <c r="N52" s="45" t="s">
        <v>148</v>
      </c>
      <c r="O52" s="29">
        <v>8</v>
      </c>
      <c r="P52" s="29"/>
      <c r="Q52" s="29"/>
      <c r="R52" s="29"/>
      <c r="S52" s="29"/>
      <c r="T52" s="29"/>
      <c r="U52" s="46"/>
    </row>
    <row r="53" spans="1:21" ht="15.75">
      <c r="A53" s="29">
        <v>3</v>
      </c>
      <c r="B53" s="67" t="s">
        <v>134</v>
      </c>
      <c r="C53" s="67">
        <v>4</v>
      </c>
      <c r="D53" s="67" t="str">
        <f t="shared" si="1"/>
        <v>MARZO4</v>
      </c>
      <c r="E53" s="68">
        <v>43208</v>
      </c>
      <c r="F53" s="68">
        <v>43577</v>
      </c>
      <c r="G53" s="66">
        <v>43943</v>
      </c>
      <c r="H53" s="66">
        <v>44301</v>
      </c>
      <c r="I53" s="66">
        <v>44663</v>
      </c>
      <c r="J53" s="66">
        <v>45029</v>
      </c>
      <c r="K53" s="5">
        <v>45394</v>
      </c>
      <c r="L53" s="70">
        <v>45761</v>
      </c>
      <c r="N53" s="45" t="s">
        <v>50</v>
      </c>
      <c r="O53" s="29">
        <v>8</v>
      </c>
      <c r="P53" s="29"/>
      <c r="Q53" s="29"/>
      <c r="R53" s="29"/>
      <c r="S53" s="29"/>
      <c r="T53" s="29"/>
      <c r="U53" s="46"/>
    </row>
    <row r="54" spans="1:21" ht="15.75">
      <c r="A54" s="29">
        <v>4</v>
      </c>
      <c r="B54" s="67" t="s">
        <v>135</v>
      </c>
      <c r="C54" s="67">
        <v>4</v>
      </c>
      <c r="D54" s="67" t="str">
        <f t="shared" si="1"/>
        <v>ABRIL4</v>
      </c>
      <c r="E54" s="68">
        <v>43238</v>
      </c>
      <c r="F54" s="68">
        <v>43602</v>
      </c>
      <c r="G54" s="66">
        <v>43971</v>
      </c>
      <c r="H54" s="66">
        <v>44329</v>
      </c>
      <c r="I54" s="66">
        <v>44694</v>
      </c>
      <c r="J54" s="66">
        <v>45058</v>
      </c>
      <c r="K54" s="5">
        <v>45428</v>
      </c>
      <c r="L54" s="70">
        <v>45792</v>
      </c>
      <c r="N54" s="45" t="s">
        <v>129</v>
      </c>
      <c r="O54" s="29">
        <v>8</v>
      </c>
      <c r="P54" s="29"/>
      <c r="Q54" s="29"/>
      <c r="R54" s="29"/>
      <c r="S54" s="29"/>
      <c r="T54" s="29"/>
      <c r="U54" s="46"/>
    </row>
    <row r="55" spans="1:21" ht="30">
      <c r="A55" s="29">
        <v>5</v>
      </c>
      <c r="B55" s="67" t="s">
        <v>136</v>
      </c>
      <c r="C55" s="67">
        <v>4</v>
      </c>
      <c r="D55" s="67" t="str">
        <f t="shared" si="1"/>
        <v>MAYO4</v>
      </c>
      <c r="E55" s="68">
        <v>43272</v>
      </c>
      <c r="F55" s="68">
        <v>43635</v>
      </c>
      <c r="G55" s="66">
        <v>44000</v>
      </c>
      <c r="H55" s="66">
        <v>44362</v>
      </c>
      <c r="I55" s="66">
        <v>44722</v>
      </c>
      <c r="J55" s="66">
        <v>45090</v>
      </c>
      <c r="K55" s="5">
        <v>45461</v>
      </c>
      <c r="L55" s="70">
        <v>45824</v>
      </c>
      <c r="N55" s="47" t="s">
        <v>47</v>
      </c>
      <c r="O55" s="29">
        <v>8</v>
      </c>
      <c r="P55" s="29"/>
      <c r="Q55" s="29"/>
      <c r="R55" s="29"/>
      <c r="S55" s="29"/>
      <c r="T55" s="29"/>
      <c r="U55" s="46"/>
    </row>
    <row r="56" spans="1:21" ht="30">
      <c r="A56" s="29">
        <v>6</v>
      </c>
      <c r="B56" s="67" t="s">
        <v>137</v>
      </c>
      <c r="C56" s="67">
        <v>4</v>
      </c>
      <c r="D56" s="67" t="str">
        <f t="shared" si="1"/>
        <v>JUNIO4</v>
      </c>
      <c r="E56" s="68">
        <v>43299</v>
      </c>
      <c r="F56" s="68">
        <v>43663</v>
      </c>
      <c r="G56" s="66">
        <v>44027</v>
      </c>
      <c r="H56" s="66">
        <v>44390</v>
      </c>
      <c r="I56" s="66">
        <v>44755</v>
      </c>
      <c r="J56" s="66">
        <v>45119</v>
      </c>
      <c r="K56" s="5">
        <v>45488</v>
      </c>
      <c r="L56" s="70">
        <v>45852</v>
      </c>
      <c r="N56" s="47" t="s">
        <v>48</v>
      </c>
      <c r="O56" s="29">
        <v>8</v>
      </c>
      <c r="P56" s="29"/>
      <c r="Q56" s="29"/>
      <c r="R56" s="29"/>
      <c r="S56" s="29"/>
      <c r="T56" s="29"/>
      <c r="U56" s="46"/>
    </row>
    <row r="57" spans="1:21" ht="15.75">
      <c r="A57" s="29">
        <v>7</v>
      </c>
      <c r="B57" s="67" t="s">
        <v>138</v>
      </c>
      <c r="C57" s="67">
        <v>4</v>
      </c>
      <c r="D57" s="67" t="str">
        <f t="shared" si="1"/>
        <v>JULIO4</v>
      </c>
      <c r="E57" s="68">
        <v>43329</v>
      </c>
      <c r="F57" s="68">
        <v>43697</v>
      </c>
      <c r="G57" s="66">
        <v>44063</v>
      </c>
      <c r="H57" s="66">
        <v>44421</v>
      </c>
      <c r="I57" s="66">
        <v>44785</v>
      </c>
      <c r="J57" s="66">
        <v>45152</v>
      </c>
      <c r="K57" s="5">
        <v>45519</v>
      </c>
      <c r="L57" s="70">
        <v>45884</v>
      </c>
      <c r="N57" s="45" t="s">
        <v>128</v>
      </c>
      <c r="O57" s="29">
        <v>9</v>
      </c>
      <c r="P57" s="29"/>
      <c r="Q57" s="29"/>
      <c r="R57" s="29"/>
      <c r="S57" s="29"/>
      <c r="T57" s="29"/>
      <c r="U57" s="46"/>
    </row>
    <row r="58" spans="1:21" ht="15.75">
      <c r="A58" s="29">
        <v>8</v>
      </c>
      <c r="B58" s="67" t="s">
        <v>139</v>
      </c>
      <c r="C58" s="67">
        <v>4</v>
      </c>
      <c r="D58" s="67" t="str">
        <f t="shared" si="1"/>
        <v>AGOSTO4</v>
      </c>
      <c r="E58" s="68">
        <v>43362</v>
      </c>
      <c r="F58" s="68">
        <v>43726</v>
      </c>
      <c r="G58" s="66">
        <v>44090</v>
      </c>
      <c r="H58" s="66">
        <v>44452</v>
      </c>
      <c r="I58" s="66">
        <v>44816</v>
      </c>
      <c r="J58" s="66">
        <v>45181</v>
      </c>
      <c r="K58" s="5">
        <v>45548</v>
      </c>
      <c r="L58" s="70">
        <v>45912</v>
      </c>
      <c r="N58" s="45" t="s">
        <v>148</v>
      </c>
      <c r="O58" s="29">
        <v>9</v>
      </c>
      <c r="P58" s="29"/>
      <c r="Q58" s="29"/>
      <c r="R58" s="29"/>
      <c r="S58" s="29"/>
      <c r="T58" s="29"/>
      <c r="U58" s="46"/>
    </row>
    <row r="59" spans="1:21" ht="31.5">
      <c r="A59" s="29">
        <v>9</v>
      </c>
      <c r="B59" s="67" t="s">
        <v>140</v>
      </c>
      <c r="C59" s="67">
        <v>4</v>
      </c>
      <c r="D59" s="67" t="str">
        <f t="shared" si="1"/>
        <v>SEPTIEMBRE4</v>
      </c>
      <c r="E59" s="68">
        <v>43391</v>
      </c>
      <c r="F59" s="68">
        <v>43755</v>
      </c>
      <c r="G59" s="66">
        <v>44119</v>
      </c>
      <c r="H59" s="66">
        <v>44481</v>
      </c>
      <c r="I59" s="66">
        <v>44846</v>
      </c>
      <c r="J59" s="66">
        <v>45212</v>
      </c>
      <c r="K59" s="5">
        <v>45580</v>
      </c>
      <c r="L59" s="70">
        <v>45945</v>
      </c>
      <c r="N59" s="45" t="s">
        <v>50</v>
      </c>
      <c r="O59" s="29">
        <v>9</v>
      </c>
      <c r="P59" s="29"/>
      <c r="Q59" s="29"/>
      <c r="R59" s="29"/>
      <c r="S59" s="29"/>
      <c r="T59" s="29"/>
      <c r="U59" s="46"/>
    </row>
    <row r="60" spans="1:21" ht="15.75">
      <c r="A60" s="29">
        <v>10</v>
      </c>
      <c r="B60" s="67" t="s">
        <v>141</v>
      </c>
      <c r="C60" s="67">
        <v>4</v>
      </c>
      <c r="D60" s="67" t="str">
        <f t="shared" si="1"/>
        <v>OCTUBRE4</v>
      </c>
      <c r="E60" s="68">
        <v>43424</v>
      </c>
      <c r="F60" s="68">
        <v>43789</v>
      </c>
      <c r="G60" s="66">
        <v>44154</v>
      </c>
      <c r="H60" s="66">
        <v>44512</v>
      </c>
      <c r="I60" s="66">
        <v>44880</v>
      </c>
      <c r="J60" s="66">
        <v>45244</v>
      </c>
      <c r="K60" s="5">
        <v>45614</v>
      </c>
      <c r="L60" s="70">
        <v>45979</v>
      </c>
      <c r="N60" s="45" t="s">
        <v>129</v>
      </c>
      <c r="O60" s="29">
        <v>9</v>
      </c>
      <c r="P60" s="29"/>
      <c r="Q60" s="29"/>
      <c r="R60" s="29"/>
      <c r="S60" s="29"/>
      <c r="T60" s="29"/>
      <c r="U60" s="46"/>
    </row>
    <row r="61" spans="1:21" ht="31.5">
      <c r="A61" s="29">
        <v>11</v>
      </c>
      <c r="B61" s="67" t="s">
        <v>142</v>
      </c>
      <c r="C61" s="67">
        <v>4</v>
      </c>
      <c r="D61" s="67" t="str">
        <f t="shared" si="1"/>
        <v>NOVIEMBRE4</v>
      </c>
      <c r="E61" s="68">
        <v>43452</v>
      </c>
      <c r="F61" s="68">
        <v>43817</v>
      </c>
      <c r="G61" s="66">
        <v>44183</v>
      </c>
      <c r="H61" s="66">
        <v>44545</v>
      </c>
      <c r="I61" s="66">
        <v>44910</v>
      </c>
      <c r="J61" s="66">
        <v>45274</v>
      </c>
      <c r="K61" s="5">
        <v>45639</v>
      </c>
      <c r="L61" s="70">
        <v>46006</v>
      </c>
      <c r="N61" s="47" t="s">
        <v>47</v>
      </c>
      <c r="O61" s="29">
        <v>9</v>
      </c>
      <c r="P61" s="29"/>
      <c r="Q61" s="29"/>
      <c r="R61" s="29"/>
      <c r="S61" s="29"/>
      <c r="T61" s="29"/>
      <c r="U61" s="46"/>
    </row>
    <row r="62" spans="1:21" ht="32.25" thickBot="1">
      <c r="A62" s="29">
        <v>12</v>
      </c>
      <c r="B62" s="67" t="s">
        <v>143</v>
      </c>
      <c r="C62" s="67">
        <v>4</v>
      </c>
      <c r="D62" s="67" t="str">
        <f t="shared" si="1"/>
        <v>DICIEMBRE4</v>
      </c>
      <c r="E62" s="68">
        <v>43486</v>
      </c>
      <c r="F62" s="68">
        <v>43850</v>
      </c>
      <c r="G62" s="66">
        <v>44217</v>
      </c>
      <c r="H62" s="66">
        <v>44578</v>
      </c>
      <c r="I62" s="66">
        <v>44942</v>
      </c>
      <c r="J62" s="66">
        <v>45306</v>
      </c>
      <c r="K62" s="5">
        <v>45673</v>
      </c>
      <c r="L62" s="70">
        <v>46038</v>
      </c>
      <c r="N62" s="48" t="s">
        <v>48</v>
      </c>
      <c r="O62" s="49">
        <v>9</v>
      </c>
      <c r="P62" s="49"/>
      <c r="Q62" s="49"/>
      <c r="R62" s="49"/>
      <c r="S62" s="49"/>
      <c r="T62" s="49"/>
      <c r="U62" s="50"/>
    </row>
    <row r="63" spans="1:21" ht="15.75">
      <c r="A63" s="29">
        <v>1</v>
      </c>
      <c r="B63" s="67" t="s">
        <v>132</v>
      </c>
      <c r="C63" s="67">
        <v>5</v>
      </c>
      <c r="D63" s="67" t="str">
        <f t="shared" si="1"/>
        <v>ENERO5</v>
      </c>
      <c r="E63" s="68">
        <v>43146</v>
      </c>
      <c r="F63" s="68">
        <v>43511</v>
      </c>
      <c r="G63" s="66">
        <v>43879</v>
      </c>
      <c r="H63" s="66">
        <v>44242</v>
      </c>
      <c r="I63" s="66">
        <v>44606</v>
      </c>
      <c r="J63" s="66">
        <v>44970</v>
      </c>
      <c r="K63" s="5">
        <v>45337</v>
      </c>
      <c r="L63" s="70">
        <v>45705</v>
      </c>
    </row>
    <row r="64" spans="1:21" ht="15.75">
      <c r="A64" s="29">
        <v>2</v>
      </c>
      <c r="B64" s="67" t="s">
        <v>133</v>
      </c>
      <c r="C64" s="67">
        <v>5</v>
      </c>
      <c r="D64" s="67" t="str">
        <f t="shared" si="1"/>
        <v>FEBRERO5</v>
      </c>
      <c r="E64" s="68">
        <v>43174</v>
      </c>
      <c r="F64" s="68">
        <v>43539</v>
      </c>
      <c r="G64" s="66">
        <v>43907</v>
      </c>
      <c r="H64" s="66">
        <v>44270</v>
      </c>
      <c r="I64" s="66">
        <v>44634</v>
      </c>
      <c r="J64" s="66">
        <v>44998</v>
      </c>
      <c r="K64" s="5">
        <v>45366</v>
      </c>
      <c r="L64" s="70">
        <v>45733</v>
      </c>
    </row>
    <row r="65" spans="1:12" ht="15.75">
      <c r="A65" s="29">
        <v>3</v>
      </c>
      <c r="B65" s="67" t="s">
        <v>134</v>
      </c>
      <c r="C65" s="67">
        <v>5</v>
      </c>
      <c r="D65" s="67" t="str">
        <f t="shared" si="1"/>
        <v>MARZO5</v>
      </c>
      <c r="E65" s="68">
        <v>43207</v>
      </c>
      <c r="F65" s="68">
        <v>43571</v>
      </c>
      <c r="G65" s="66">
        <v>43942</v>
      </c>
      <c r="H65" s="66">
        <v>44302</v>
      </c>
      <c r="I65" s="66">
        <v>44664</v>
      </c>
      <c r="J65" s="66">
        <v>45030</v>
      </c>
      <c r="K65" s="5">
        <v>45397</v>
      </c>
      <c r="L65" s="70">
        <v>45762</v>
      </c>
    </row>
    <row r="66" spans="1:12" ht="15.75">
      <c r="A66" s="29">
        <v>4</v>
      </c>
      <c r="B66" s="67" t="s">
        <v>135</v>
      </c>
      <c r="C66" s="67">
        <v>5</v>
      </c>
      <c r="D66" s="67" t="str">
        <f t="shared" si="1"/>
        <v>ABRIL5</v>
      </c>
      <c r="E66" s="68">
        <v>43237</v>
      </c>
      <c r="F66" s="68">
        <v>43601</v>
      </c>
      <c r="G66" s="66">
        <v>43970</v>
      </c>
      <c r="H66" s="66">
        <v>44330</v>
      </c>
      <c r="I66" s="66">
        <v>44697</v>
      </c>
      <c r="J66" s="66">
        <v>45061</v>
      </c>
      <c r="K66" s="5">
        <v>45429</v>
      </c>
      <c r="L66" s="70">
        <v>45793</v>
      </c>
    </row>
    <row r="67" spans="1:12" ht="15.75">
      <c r="A67" s="29">
        <v>5</v>
      </c>
      <c r="B67" s="67" t="s">
        <v>136</v>
      </c>
      <c r="C67" s="67">
        <v>5</v>
      </c>
      <c r="D67" s="67" t="str">
        <f t="shared" si="1"/>
        <v>MAYO5</v>
      </c>
      <c r="E67" s="68">
        <v>43271</v>
      </c>
      <c r="F67" s="68">
        <v>43634</v>
      </c>
      <c r="G67" s="66">
        <v>43999</v>
      </c>
      <c r="H67" s="66">
        <v>44363</v>
      </c>
      <c r="I67" s="66">
        <v>44725</v>
      </c>
      <c r="J67" s="66">
        <v>45091</v>
      </c>
      <c r="K67" s="5">
        <v>45462</v>
      </c>
      <c r="L67" s="70">
        <v>45825</v>
      </c>
    </row>
    <row r="68" spans="1:12" ht="15.75">
      <c r="A68" s="29">
        <v>6</v>
      </c>
      <c r="B68" s="67" t="s">
        <v>137</v>
      </c>
      <c r="C68" s="67">
        <v>5</v>
      </c>
      <c r="D68" s="67" t="str">
        <f t="shared" si="1"/>
        <v>JUNIO5</v>
      </c>
      <c r="E68" s="68">
        <v>43298</v>
      </c>
      <c r="F68" s="68">
        <v>43662</v>
      </c>
      <c r="G68" s="66">
        <v>44026</v>
      </c>
      <c r="H68" s="66">
        <v>44391</v>
      </c>
      <c r="I68" s="66">
        <v>44756</v>
      </c>
      <c r="J68" s="66">
        <v>45120</v>
      </c>
      <c r="K68" s="5">
        <v>45489</v>
      </c>
      <c r="L68" s="70">
        <v>45853</v>
      </c>
    </row>
    <row r="69" spans="1:12" ht="15.75">
      <c r="A69" s="29">
        <v>7</v>
      </c>
      <c r="B69" s="67" t="s">
        <v>138</v>
      </c>
      <c r="C69" s="67">
        <v>5</v>
      </c>
      <c r="D69" s="67" t="str">
        <f t="shared" si="1"/>
        <v>JULIO5</v>
      </c>
      <c r="E69" s="68">
        <v>43328</v>
      </c>
      <c r="F69" s="68">
        <v>43693</v>
      </c>
      <c r="G69" s="66">
        <v>44062</v>
      </c>
      <c r="H69" s="66">
        <v>44425</v>
      </c>
      <c r="I69" s="66">
        <v>44789</v>
      </c>
      <c r="J69" s="66">
        <v>45153</v>
      </c>
      <c r="K69" s="5">
        <v>45520</v>
      </c>
      <c r="L69" s="70">
        <v>45888</v>
      </c>
    </row>
    <row r="70" spans="1:12" ht="15.75">
      <c r="A70" s="29">
        <v>8</v>
      </c>
      <c r="B70" s="67" t="s">
        <v>139</v>
      </c>
      <c r="C70" s="67">
        <v>5</v>
      </c>
      <c r="D70" s="67" t="str">
        <f t="shared" si="1"/>
        <v>AGOSTO5</v>
      </c>
      <c r="E70" s="68">
        <v>43361</v>
      </c>
      <c r="F70" s="68">
        <v>43725</v>
      </c>
      <c r="G70" s="66">
        <v>44089</v>
      </c>
      <c r="H70" s="66">
        <v>44453</v>
      </c>
      <c r="I70" s="66">
        <v>44817</v>
      </c>
      <c r="J70" s="66">
        <v>45182</v>
      </c>
      <c r="K70" s="5">
        <v>45551</v>
      </c>
      <c r="L70" s="70">
        <v>45915</v>
      </c>
    </row>
    <row r="71" spans="1:12" ht="31.5">
      <c r="A71" s="29">
        <v>9</v>
      </c>
      <c r="B71" s="67" t="s">
        <v>140</v>
      </c>
      <c r="C71" s="67">
        <v>5</v>
      </c>
      <c r="D71" s="67" t="str">
        <f t="shared" si="1"/>
        <v>SEPTIEMBRE5</v>
      </c>
      <c r="E71" s="68">
        <v>43390</v>
      </c>
      <c r="F71" s="68">
        <v>43754</v>
      </c>
      <c r="G71" s="66">
        <v>44118</v>
      </c>
      <c r="H71" s="66">
        <v>44482</v>
      </c>
      <c r="I71" s="66">
        <v>44847</v>
      </c>
      <c r="J71" s="66">
        <v>45216</v>
      </c>
      <c r="K71" s="5">
        <v>45581</v>
      </c>
      <c r="L71" s="70">
        <v>45946</v>
      </c>
    </row>
    <row r="72" spans="1:12" ht="15.75">
      <c r="A72" s="29">
        <v>10</v>
      </c>
      <c r="B72" s="67" t="s">
        <v>141</v>
      </c>
      <c r="C72" s="67">
        <v>5</v>
      </c>
      <c r="D72" s="67" t="str">
        <f t="shared" si="1"/>
        <v>OCTUBRE5</v>
      </c>
      <c r="E72" s="68">
        <v>43423</v>
      </c>
      <c r="F72" s="68">
        <v>43788</v>
      </c>
      <c r="G72" s="66">
        <v>44153</v>
      </c>
      <c r="H72" s="66">
        <v>44516</v>
      </c>
      <c r="I72" s="66">
        <v>44881</v>
      </c>
      <c r="J72" s="66">
        <v>45245</v>
      </c>
      <c r="K72" s="5">
        <v>45615</v>
      </c>
      <c r="L72" s="70">
        <v>45980</v>
      </c>
    </row>
    <row r="73" spans="1:12" ht="31.5">
      <c r="A73" s="29">
        <v>11</v>
      </c>
      <c r="B73" s="67" t="s">
        <v>142</v>
      </c>
      <c r="C73" s="67">
        <v>5</v>
      </c>
      <c r="D73" s="67" t="str">
        <f t="shared" si="1"/>
        <v>NOVIEMBRE5</v>
      </c>
      <c r="E73" s="68">
        <v>43451</v>
      </c>
      <c r="F73" s="68">
        <v>43816</v>
      </c>
      <c r="G73" s="66">
        <v>44182</v>
      </c>
      <c r="H73" s="66">
        <v>44546</v>
      </c>
      <c r="I73" s="66">
        <v>44911</v>
      </c>
      <c r="J73" s="66">
        <v>45275</v>
      </c>
      <c r="K73" s="5">
        <v>45642</v>
      </c>
      <c r="L73" s="70">
        <v>46007</v>
      </c>
    </row>
    <row r="74" spans="1:12" ht="31.5">
      <c r="A74" s="29">
        <v>12</v>
      </c>
      <c r="B74" s="67" t="s">
        <v>143</v>
      </c>
      <c r="C74" s="67">
        <v>5</v>
      </c>
      <c r="D74" s="67" t="str">
        <f t="shared" si="1"/>
        <v>DICIEMBRE5</v>
      </c>
      <c r="E74" s="68">
        <v>43483</v>
      </c>
      <c r="F74" s="68">
        <v>43847</v>
      </c>
      <c r="G74" s="66">
        <v>44216</v>
      </c>
      <c r="H74" s="66">
        <v>44579</v>
      </c>
      <c r="I74" s="66">
        <v>44943</v>
      </c>
      <c r="J74" s="66">
        <v>45307</v>
      </c>
      <c r="K74" s="5">
        <v>45674</v>
      </c>
      <c r="L74" s="70">
        <v>46041</v>
      </c>
    </row>
    <row r="75" spans="1:12" ht="15.75">
      <c r="A75" s="29">
        <v>1</v>
      </c>
      <c r="B75" s="67" t="s">
        <v>132</v>
      </c>
      <c r="C75" s="67">
        <v>6</v>
      </c>
      <c r="D75" s="67" t="str">
        <f t="shared" si="1"/>
        <v>ENERO6</v>
      </c>
      <c r="E75" s="68">
        <v>43145</v>
      </c>
      <c r="F75" s="68">
        <v>43510</v>
      </c>
      <c r="G75" s="66">
        <v>43878</v>
      </c>
      <c r="H75" s="66">
        <v>44243</v>
      </c>
      <c r="I75" s="66">
        <v>44607</v>
      </c>
      <c r="J75" s="66">
        <v>44971</v>
      </c>
      <c r="K75" s="5">
        <v>45338</v>
      </c>
      <c r="L75" s="70">
        <v>45706</v>
      </c>
    </row>
    <row r="76" spans="1:12" ht="15.75">
      <c r="A76" s="29">
        <v>2</v>
      </c>
      <c r="B76" s="67" t="s">
        <v>133</v>
      </c>
      <c r="C76" s="67">
        <v>6</v>
      </c>
      <c r="D76" s="67" t="str">
        <f t="shared" si="1"/>
        <v>FEBRERO6</v>
      </c>
      <c r="E76" s="68">
        <v>43173</v>
      </c>
      <c r="F76" s="68">
        <v>43538</v>
      </c>
      <c r="G76" s="66">
        <v>43906</v>
      </c>
      <c r="H76" s="66">
        <v>44271</v>
      </c>
      <c r="I76" s="66">
        <v>44635</v>
      </c>
      <c r="J76" s="66">
        <v>44999</v>
      </c>
      <c r="K76" s="5">
        <v>45369</v>
      </c>
      <c r="L76" s="70">
        <v>45734</v>
      </c>
    </row>
    <row r="77" spans="1:12" ht="15.75">
      <c r="A77" s="29">
        <v>3</v>
      </c>
      <c r="B77" s="67" t="s">
        <v>134</v>
      </c>
      <c r="C77" s="67">
        <v>6</v>
      </c>
      <c r="D77" s="67" t="str">
        <f t="shared" si="1"/>
        <v>MARZO6</v>
      </c>
      <c r="E77" s="68">
        <v>43206</v>
      </c>
      <c r="F77" s="68">
        <v>43570</v>
      </c>
      <c r="G77" s="66">
        <v>43941</v>
      </c>
      <c r="H77" s="66">
        <v>44305</v>
      </c>
      <c r="I77" s="66">
        <v>44669</v>
      </c>
      <c r="J77" s="66">
        <v>45033</v>
      </c>
      <c r="K77" s="5">
        <v>45398</v>
      </c>
      <c r="L77" s="70">
        <v>45763</v>
      </c>
    </row>
    <row r="78" spans="1:12" ht="15.75">
      <c r="A78" s="29">
        <v>4</v>
      </c>
      <c r="B78" s="67" t="s">
        <v>135</v>
      </c>
      <c r="C78" s="67">
        <v>6</v>
      </c>
      <c r="D78" s="67" t="str">
        <f t="shared" si="1"/>
        <v>ABRIL6</v>
      </c>
      <c r="E78" s="68">
        <v>43236</v>
      </c>
      <c r="F78" s="68">
        <v>43600</v>
      </c>
      <c r="G78" s="66">
        <v>43969</v>
      </c>
      <c r="H78" s="66">
        <v>44334</v>
      </c>
      <c r="I78" s="66">
        <v>44698</v>
      </c>
      <c r="J78" s="66">
        <v>45062</v>
      </c>
      <c r="K78" s="5">
        <v>45432</v>
      </c>
      <c r="L78" s="70">
        <v>45796</v>
      </c>
    </row>
    <row r="79" spans="1:12" ht="15.75">
      <c r="A79" s="29">
        <v>5</v>
      </c>
      <c r="B79" s="67" t="s">
        <v>136</v>
      </c>
      <c r="C79" s="67">
        <v>6</v>
      </c>
      <c r="D79" s="67" t="str">
        <f t="shared" si="1"/>
        <v>MAYO6</v>
      </c>
      <c r="E79" s="68">
        <v>43270</v>
      </c>
      <c r="F79" s="68">
        <v>43633</v>
      </c>
      <c r="G79" s="66">
        <v>43998</v>
      </c>
      <c r="H79" s="66">
        <v>44364</v>
      </c>
      <c r="I79" s="66">
        <v>44726</v>
      </c>
      <c r="J79" s="66">
        <v>45092</v>
      </c>
      <c r="K79" s="5">
        <v>45463</v>
      </c>
      <c r="L79" s="70">
        <v>45826</v>
      </c>
    </row>
    <row r="80" spans="1:12" ht="15.75">
      <c r="A80" s="29">
        <v>6</v>
      </c>
      <c r="B80" s="67" t="s">
        <v>137</v>
      </c>
      <c r="C80" s="67">
        <v>6</v>
      </c>
      <c r="D80" s="67" t="str">
        <f t="shared" ref="D80:D122" si="2">CONCATENATE(B80,C80)</f>
        <v>JUNIO6</v>
      </c>
      <c r="E80" s="68">
        <v>43297</v>
      </c>
      <c r="F80" s="68">
        <v>43661</v>
      </c>
      <c r="G80" s="66">
        <v>44025</v>
      </c>
      <c r="H80" s="66">
        <v>44392</v>
      </c>
      <c r="I80" s="66">
        <v>44757</v>
      </c>
      <c r="J80" s="66">
        <v>45121</v>
      </c>
      <c r="K80" s="5">
        <v>45490</v>
      </c>
      <c r="L80" s="70">
        <v>45854</v>
      </c>
    </row>
    <row r="81" spans="1:12" ht="15.75">
      <c r="A81" s="29">
        <v>7</v>
      </c>
      <c r="B81" s="67" t="s">
        <v>138</v>
      </c>
      <c r="C81" s="67">
        <v>6</v>
      </c>
      <c r="D81" s="67" t="str">
        <f t="shared" si="2"/>
        <v>JULIO6</v>
      </c>
      <c r="E81" s="68">
        <v>43327</v>
      </c>
      <c r="F81" s="68">
        <v>43692</v>
      </c>
      <c r="G81" s="66">
        <v>44061</v>
      </c>
      <c r="H81" s="66">
        <v>44426</v>
      </c>
      <c r="I81" s="66">
        <v>44790</v>
      </c>
      <c r="J81" s="66">
        <v>45154</v>
      </c>
      <c r="K81" s="5">
        <v>45524</v>
      </c>
      <c r="L81" s="70">
        <v>45889</v>
      </c>
    </row>
    <row r="82" spans="1:12" ht="15.75">
      <c r="A82" s="29">
        <v>8</v>
      </c>
      <c r="B82" s="67" t="s">
        <v>139</v>
      </c>
      <c r="C82" s="67">
        <v>6</v>
      </c>
      <c r="D82" s="67" t="str">
        <f t="shared" si="2"/>
        <v>AGOSTO6</v>
      </c>
      <c r="E82" s="68">
        <v>43360</v>
      </c>
      <c r="F82" s="68">
        <v>43724</v>
      </c>
      <c r="G82" s="66">
        <v>44088</v>
      </c>
      <c r="H82" s="66">
        <v>44454</v>
      </c>
      <c r="I82" s="66">
        <v>44818</v>
      </c>
      <c r="J82" s="66">
        <v>45183</v>
      </c>
      <c r="K82" s="5">
        <v>45552</v>
      </c>
      <c r="L82" s="70">
        <v>45916</v>
      </c>
    </row>
    <row r="83" spans="1:12" ht="31.5">
      <c r="A83" s="29">
        <v>9</v>
      </c>
      <c r="B83" s="67" t="s">
        <v>140</v>
      </c>
      <c r="C83" s="67">
        <v>6</v>
      </c>
      <c r="D83" s="67" t="str">
        <f t="shared" si="2"/>
        <v>SEPTIEMBRE6</v>
      </c>
      <c r="E83" s="68">
        <v>43389</v>
      </c>
      <c r="F83" s="68">
        <v>43753</v>
      </c>
      <c r="G83" s="66">
        <v>44117</v>
      </c>
      <c r="H83" s="66">
        <v>44483</v>
      </c>
      <c r="I83" s="66">
        <v>44848</v>
      </c>
      <c r="J83" s="66">
        <v>45217</v>
      </c>
      <c r="K83" s="5">
        <v>45582</v>
      </c>
      <c r="L83" s="70">
        <v>45947</v>
      </c>
    </row>
    <row r="84" spans="1:12" ht="15.75">
      <c r="A84" s="29">
        <v>10</v>
      </c>
      <c r="B84" s="67" t="s">
        <v>141</v>
      </c>
      <c r="C84" s="67">
        <v>6</v>
      </c>
      <c r="D84" s="67" t="str">
        <f t="shared" si="2"/>
        <v>OCTUBRE6</v>
      </c>
      <c r="E84" s="68">
        <v>43420</v>
      </c>
      <c r="F84" s="68">
        <v>43787</v>
      </c>
      <c r="G84" s="66">
        <v>44152</v>
      </c>
      <c r="H84" s="66">
        <v>44517</v>
      </c>
      <c r="I84" s="66">
        <v>44882</v>
      </c>
      <c r="J84" s="66">
        <v>45246</v>
      </c>
      <c r="K84" s="5">
        <v>45616</v>
      </c>
      <c r="L84" s="70">
        <v>45981</v>
      </c>
    </row>
    <row r="85" spans="1:12" ht="31.5">
      <c r="A85" s="29">
        <v>11</v>
      </c>
      <c r="B85" s="67" t="s">
        <v>142</v>
      </c>
      <c r="C85" s="67">
        <v>6</v>
      </c>
      <c r="D85" s="67" t="str">
        <f t="shared" si="2"/>
        <v>NOVIEMBRE6</v>
      </c>
      <c r="E85" s="68">
        <v>43448</v>
      </c>
      <c r="F85" s="68">
        <v>43815</v>
      </c>
      <c r="G85" s="66">
        <v>44181</v>
      </c>
      <c r="H85" s="66">
        <v>44547</v>
      </c>
      <c r="I85" s="66">
        <v>44914</v>
      </c>
      <c r="J85" s="66">
        <v>45278</v>
      </c>
      <c r="K85" s="5">
        <v>45643</v>
      </c>
      <c r="L85" s="70">
        <v>46008</v>
      </c>
    </row>
    <row r="86" spans="1:12" ht="31.5">
      <c r="A86" s="29">
        <v>12</v>
      </c>
      <c r="B86" s="67" t="s">
        <v>143</v>
      </c>
      <c r="C86" s="67">
        <v>6</v>
      </c>
      <c r="D86" s="67" t="str">
        <f t="shared" si="2"/>
        <v>DICIEMBRE6</v>
      </c>
      <c r="E86" s="68">
        <v>43482</v>
      </c>
      <c r="F86" s="68">
        <v>43846</v>
      </c>
      <c r="G86" s="66">
        <v>44215</v>
      </c>
      <c r="H86" s="66">
        <v>44580</v>
      </c>
      <c r="I86" s="66">
        <v>44944</v>
      </c>
      <c r="J86" s="66">
        <v>45308</v>
      </c>
      <c r="K86" s="5">
        <v>45677</v>
      </c>
      <c r="L86" s="70">
        <v>46042</v>
      </c>
    </row>
    <row r="87" spans="1:12" ht="15.75">
      <c r="A87" s="29">
        <v>1</v>
      </c>
      <c r="B87" s="67" t="s">
        <v>132</v>
      </c>
      <c r="C87" s="67">
        <v>7</v>
      </c>
      <c r="D87" s="67" t="str">
        <f t="shared" si="2"/>
        <v>ENERO7</v>
      </c>
      <c r="E87" s="68">
        <v>43144</v>
      </c>
      <c r="F87" s="68">
        <v>43509</v>
      </c>
      <c r="G87" s="66">
        <v>43875</v>
      </c>
      <c r="H87" s="66">
        <v>44244</v>
      </c>
      <c r="I87" s="66">
        <v>44608</v>
      </c>
      <c r="J87" s="66">
        <v>44972</v>
      </c>
      <c r="K87" s="5">
        <v>45341</v>
      </c>
      <c r="L87" s="70">
        <v>45707</v>
      </c>
    </row>
    <row r="88" spans="1:12" ht="15.75">
      <c r="A88" s="29">
        <v>2</v>
      </c>
      <c r="B88" s="67" t="s">
        <v>133</v>
      </c>
      <c r="C88" s="67">
        <v>7</v>
      </c>
      <c r="D88" s="67" t="str">
        <f t="shared" si="2"/>
        <v>FEBRERO7</v>
      </c>
      <c r="E88" s="68">
        <v>43172</v>
      </c>
      <c r="F88" s="68">
        <v>43537</v>
      </c>
      <c r="G88" s="66">
        <v>43903</v>
      </c>
      <c r="H88" s="66">
        <v>44272</v>
      </c>
      <c r="I88" s="66">
        <v>44636</v>
      </c>
      <c r="J88" s="66">
        <v>45000</v>
      </c>
      <c r="K88" s="5">
        <v>45370</v>
      </c>
      <c r="L88" s="70">
        <v>45735</v>
      </c>
    </row>
    <row r="89" spans="1:12" ht="15.75">
      <c r="A89" s="29">
        <v>3</v>
      </c>
      <c r="B89" s="67" t="s">
        <v>134</v>
      </c>
      <c r="C89" s="67">
        <v>7</v>
      </c>
      <c r="D89" s="67" t="str">
        <f t="shared" si="2"/>
        <v>MARZO7</v>
      </c>
      <c r="E89" s="68">
        <v>43203</v>
      </c>
      <c r="F89" s="68">
        <v>43567</v>
      </c>
      <c r="G89" s="66">
        <v>43938</v>
      </c>
      <c r="H89" s="66">
        <v>44306</v>
      </c>
      <c r="I89" s="66">
        <v>44670</v>
      </c>
      <c r="J89" s="66">
        <v>45034</v>
      </c>
      <c r="K89" s="5">
        <v>45399</v>
      </c>
      <c r="L89" s="70">
        <v>45768</v>
      </c>
    </row>
    <row r="90" spans="1:12" ht="15.75">
      <c r="A90" s="29">
        <v>4</v>
      </c>
      <c r="B90" s="67" t="s">
        <v>135</v>
      </c>
      <c r="C90" s="67">
        <v>7</v>
      </c>
      <c r="D90" s="67" t="str">
        <f t="shared" si="2"/>
        <v>ABRIL7</v>
      </c>
      <c r="E90" s="68">
        <v>43235</v>
      </c>
      <c r="F90" s="68">
        <v>43599</v>
      </c>
      <c r="G90" s="66">
        <v>43966</v>
      </c>
      <c r="H90" s="66">
        <v>44335</v>
      </c>
      <c r="I90" s="66">
        <v>44699</v>
      </c>
      <c r="J90" s="66">
        <v>45063</v>
      </c>
      <c r="K90" s="5">
        <v>45433</v>
      </c>
      <c r="L90" s="70">
        <v>45797</v>
      </c>
    </row>
    <row r="91" spans="1:12" ht="15.75">
      <c r="A91" s="29">
        <v>5</v>
      </c>
      <c r="B91" s="67" t="s">
        <v>136</v>
      </c>
      <c r="C91" s="67">
        <v>7</v>
      </c>
      <c r="D91" s="67" t="str">
        <f t="shared" si="2"/>
        <v>MAYO7</v>
      </c>
      <c r="E91" s="68">
        <v>43269</v>
      </c>
      <c r="F91" s="68">
        <v>43630</v>
      </c>
      <c r="G91" s="66">
        <v>43994</v>
      </c>
      <c r="H91" s="66">
        <v>44365</v>
      </c>
      <c r="I91" s="66">
        <v>44727</v>
      </c>
      <c r="J91" s="66">
        <v>45093</v>
      </c>
      <c r="K91" s="5">
        <v>45464</v>
      </c>
      <c r="L91" s="70">
        <v>45827</v>
      </c>
    </row>
    <row r="92" spans="1:12" ht="15.75">
      <c r="A92" s="29">
        <v>6</v>
      </c>
      <c r="B92" s="67" t="s">
        <v>137</v>
      </c>
      <c r="C92" s="67">
        <v>7</v>
      </c>
      <c r="D92" s="67" t="str">
        <f t="shared" si="2"/>
        <v>JUNIO7</v>
      </c>
      <c r="E92" s="68">
        <v>43294</v>
      </c>
      <c r="F92" s="68">
        <v>43658</v>
      </c>
      <c r="G92" s="66">
        <v>44022</v>
      </c>
      <c r="H92" s="66">
        <v>44393</v>
      </c>
      <c r="I92" s="66">
        <v>44760</v>
      </c>
      <c r="J92" s="66">
        <v>45124</v>
      </c>
      <c r="K92" s="5">
        <v>45491</v>
      </c>
      <c r="L92" s="70">
        <v>45855</v>
      </c>
    </row>
    <row r="93" spans="1:12" ht="15.75">
      <c r="A93" s="29">
        <v>7</v>
      </c>
      <c r="B93" s="67" t="s">
        <v>138</v>
      </c>
      <c r="C93" s="67">
        <v>7</v>
      </c>
      <c r="D93" s="67" t="str">
        <f t="shared" si="2"/>
        <v>JULIO7</v>
      </c>
      <c r="E93" s="68">
        <v>43326</v>
      </c>
      <c r="F93" s="68">
        <v>43691</v>
      </c>
      <c r="G93" s="66">
        <v>44057</v>
      </c>
      <c r="H93" s="66">
        <v>44427</v>
      </c>
      <c r="I93" s="66">
        <v>44791</v>
      </c>
      <c r="J93" s="66">
        <v>45155</v>
      </c>
      <c r="K93" s="5">
        <v>45525</v>
      </c>
      <c r="L93" s="70">
        <v>45890</v>
      </c>
    </row>
    <row r="94" spans="1:12" ht="15.75">
      <c r="A94" s="29">
        <v>8</v>
      </c>
      <c r="B94" s="67" t="s">
        <v>139</v>
      </c>
      <c r="C94" s="67">
        <v>7</v>
      </c>
      <c r="D94" s="67" t="str">
        <f t="shared" si="2"/>
        <v>AGOSTO7</v>
      </c>
      <c r="E94" s="68">
        <v>43357</v>
      </c>
      <c r="F94" s="68">
        <v>43721</v>
      </c>
      <c r="G94" s="66">
        <v>44085</v>
      </c>
      <c r="H94" s="66">
        <v>44455</v>
      </c>
      <c r="I94" s="66">
        <v>44819</v>
      </c>
      <c r="J94" s="66">
        <v>45184</v>
      </c>
      <c r="K94" s="5">
        <v>45553</v>
      </c>
      <c r="L94" s="70">
        <v>45917</v>
      </c>
    </row>
    <row r="95" spans="1:12" ht="31.5">
      <c r="A95" s="29">
        <v>9</v>
      </c>
      <c r="B95" s="67" t="s">
        <v>140</v>
      </c>
      <c r="C95" s="67">
        <v>7</v>
      </c>
      <c r="D95" s="67" t="str">
        <f t="shared" si="2"/>
        <v>SEPTIEMBRE7</v>
      </c>
      <c r="E95" s="68">
        <v>43385</v>
      </c>
      <c r="F95" s="68">
        <v>43749</v>
      </c>
      <c r="G95" s="66">
        <v>44113</v>
      </c>
      <c r="H95" s="66">
        <v>44484</v>
      </c>
      <c r="I95" s="66">
        <v>44852</v>
      </c>
      <c r="J95" s="66">
        <v>45218</v>
      </c>
      <c r="K95" s="5">
        <v>45583</v>
      </c>
      <c r="L95" s="70">
        <v>45950</v>
      </c>
    </row>
    <row r="96" spans="1:12" ht="15.75">
      <c r="A96" s="29">
        <v>10</v>
      </c>
      <c r="B96" s="67" t="s">
        <v>141</v>
      </c>
      <c r="C96" s="67">
        <v>7</v>
      </c>
      <c r="D96" s="67" t="str">
        <f t="shared" si="2"/>
        <v>OCTUBRE7</v>
      </c>
      <c r="E96" s="68">
        <v>43419</v>
      </c>
      <c r="F96" s="68">
        <v>43784</v>
      </c>
      <c r="G96" s="66">
        <v>44148</v>
      </c>
      <c r="H96" s="66">
        <v>44518</v>
      </c>
      <c r="I96" s="66">
        <v>44883</v>
      </c>
      <c r="J96" s="66">
        <v>45247</v>
      </c>
      <c r="K96" s="5">
        <v>45617</v>
      </c>
      <c r="L96" s="70">
        <v>45982</v>
      </c>
    </row>
    <row r="97" spans="1:14" ht="31.5">
      <c r="A97" s="29">
        <v>11</v>
      </c>
      <c r="B97" s="67" t="s">
        <v>142</v>
      </c>
      <c r="C97" s="67">
        <v>7</v>
      </c>
      <c r="D97" s="67" t="str">
        <f t="shared" si="2"/>
        <v>NOVIEMBRE7</v>
      </c>
      <c r="E97" s="68">
        <v>43447</v>
      </c>
      <c r="F97" s="68">
        <v>43812</v>
      </c>
      <c r="G97" s="66">
        <v>44180</v>
      </c>
      <c r="H97" s="66">
        <v>44550</v>
      </c>
      <c r="I97" s="66">
        <v>44915</v>
      </c>
      <c r="J97" s="66">
        <v>45279</v>
      </c>
      <c r="K97" s="5">
        <v>45644</v>
      </c>
      <c r="L97" s="70">
        <v>46009</v>
      </c>
    </row>
    <row r="98" spans="1:14" ht="31.5">
      <c r="A98" s="29">
        <v>12</v>
      </c>
      <c r="B98" s="67" t="s">
        <v>143</v>
      </c>
      <c r="C98" s="67">
        <v>7</v>
      </c>
      <c r="D98" s="67" t="str">
        <f t="shared" si="2"/>
        <v>DICIEMBRE7</v>
      </c>
      <c r="E98" s="68">
        <v>43481</v>
      </c>
      <c r="F98" s="68">
        <v>43845</v>
      </c>
      <c r="G98" s="66">
        <v>44214</v>
      </c>
      <c r="H98" s="66">
        <v>44581</v>
      </c>
      <c r="I98" s="66">
        <v>44945</v>
      </c>
      <c r="J98" s="66">
        <v>45309</v>
      </c>
      <c r="K98" s="5">
        <v>45678</v>
      </c>
      <c r="L98" s="70">
        <v>46043</v>
      </c>
      <c r="N98" s="53"/>
    </row>
    <row r="99" spans="1:14" ht="15.75">
      <c r="A99" s="29">
        <v>1</v>
      </c>
      <c r="B99" s="67" t="s">
        <v>132</v>
      </c>
      <c r="C99" s="67">
        <v>8</v>
      </c>
      <c r="D99" s="67" t="str">
        <f t="shared" si="2"/>
        <v>ENERO8</v>
      </c>
      <c r="E99" s="68">
        <v>43143</v>
      </c>
      <c r="F99" s="68">
        <v>43508</v>
      </c>
      <c r="G99" s="66">
        <v>43874</v>
      </c>
      <c r="H99" s="66">
        <v>44245</v>
      </c>
      <c r="I99" s="66">
        <v>44609</v>
      </c>
      <c r="J99" s="66">
        <v>44973</v>
      </c>
      <c r="K99" s="5">
        <v>45342</v>
      </c>
      <c r="L99" s="70">
        <v>45708</v>
      </c>
    </row>
    <row r="100" spans="1:14" ht="15.75">
      <c r="A100" s="29">
        <v>2</v>
      </c>
      <c r="B100" s="67" t="s">
        <v>133</v>
      </c>
      <c r="C100" s="67">
        <v>8</v>
      </c>
      <c r="D100" s="67" t="str">
        <f t="shared" si="2"/>
        <v>FEBRERO8</v>
      </c>
      <c r="E100" s="68">
        <v>43171</v>
      </c>
      <c r="F100" s="68">
        <v>43536</v>
      </c>
      <c r="G100" s="66">
        <v>43902</v>
      </c>
      <c r="H100" s="66">
        <v>44273</v>
      </c>
      <c r="I100" s="66">
        <v>44637</v>
      </c>
      <c r="J100" s="66">
        <v>45001</v>
      </c>
      <c r="K100" s="5">
        <v>45371</v>
      </c>
      <c r="L100" s="70">
        <v>45736</v>
      </c>
    </row>
    <row r="101" spans="1:14" ht="15.75">
      <c r="A101" s="29">
        <v>3</v>
      </c>
      <c r="B101" s="67" t="s">
        <v>134</v>
      </c>
      <c r="C101" s="67">
        <v>8</v>
      </c>
      <c r="D101" s="67" t="str">
        <f t="shared" si="2"/>
        <v>MARZO8</v>
      </c>
      <c r="E101" s="68">
        <v>43202</v>
      </c>
      <c r="F101" s="68">
        <v>43566</v>
      </c>
      <c r="G101" s="66">
        <v>43937</v>
      </c>
      <c r="H101" s="66">
        <v>44307</v>
      </c>
      <c r="I101" s="66">
        <v>44671</v>
      </c>
      <c r="J101" s="66">
        <v>45035</v>
      </c>
      <c r="K101" s="5">
        <v>45400</v>
      </c>
      <c r="L101" s="70">
        <v>45769</v>
      </c>
    </row>
    <row r="102" spans="1:14" ht="15.75">
      <c r="A102" s="29">
        <v>4</v>
      </c>
      <c r="B102" s="67" t="s">
        <v>135</v>
      </c>
      <c r="C102" s="67">
        <v>8</v>
      </c>
      <c r="D102" s="67" t="str">
        <f t="shared" si="2"/>
        <v>ABRIL8</v>
      </c>
      <c r="E102" s="68">
        <v>43231</v>
      </c>
      <c r="F102" s="68">
        <v>43598</v>
      </c>
      <c r="G102" s="66">
        <v>43965</v>
      </c>
      <c r="H102" s="66">
        <v>44336</v>
      </c>
      <c r="I102" s="66">
        <v>44700</v>
      </c>
      <c r="J102" s="66">
        <v>45064</v>
      </c>
      <c r="K102" s="5">
        <v>45434</v>
      </c>
      <c r="L102" s="70">
        <v>45798</v>
      </c>
    </row>
    <row r="103" spans="1:14" ht="15.75">
      <c r="A103" s="29">
        <v>5</v>
      </c>
      <c r="B103" s="67" t="s">
        <v>136</v>
      </c>
      <c r="C103" s="67">
        <v>8</v>
      </c>
      <c r="D103" s="67" t="str">
        <f t="shared" si="2"/>
        <v>MAYO8</v>
      </c>
      <c r="E103" s="68">
        <v>43266</v>
      </c>
      <c r="F103" s="68">
        <v>43629</v>
      </c>
      <c r="G103" s="66">
        <v>43993</v>
      </c>
      <c r="H103" s="66">
        <v>44368</v>
      </c>
      <c r="I103" s="66">
        <v>44728</v>
      </c>
      <c r="J103" s="66">
        <v>45097</v>
      </c>
      <c r="K103" s="5">
        <v>45467</v>
      </c>
      <c r="L103" s="70">
        <v>45828</v>
      </c>
    </row>
    <row r="104" spans="1:14" ht="15.75">
      <c r="A104" s="29">
        <v>6</v>
      </c>
      <c r="B104" s="67" t="s">
        <v>137</v>
      </c>
      <c r="C104" s="67">
        <v>8</v>
      </c>
      <c r="D104" s="67" t="str">
        <f t="shared" si="2"/>
        <v>JUNIO8</v>
      </c>
      <c r="E104" s="68">
        <v>43293</v>
      </c>
      <c r="F104" s="68">
        <v>43657</v>
      </c>
      <c r="G104" s="66">
        <v>44021</v>
      </c>
      <c r="H104" s="66">
        <v>44396</v>
      </c>
      <c r="I104" s="66">
        <v>44761</v>
      </c>
      <c r="J104" s="66">
        <v>45125</v>
      </c>
      <c r="K104" s="5">
        <v>45492</v>
      </c>
      <c r="L104" s="70">
        <v>45856</v>
      </c>
    </row>
    <row r="105" spans="1:14" ht="15.75">
      <c r="A105" s="29">
        <v>7</v>
      </c>
      <c r="B105" s="67" t="s">
        <v>138</v>
      </c>
      <c r="C105" s="67">
        <v>8</v>
      </c>
      <c r="D105" s="67" t="str">
        <f t="shared" si="2"/>
        <v>JULIO8</v>
      </c>
      <c r="E105" s="68">
        <v>43325</v>
      </c>
      <c r="F105" s="68">
        <v>43690</v>
      </c>
      <c r="G105" s="66">
        <v>44056</v>
      </c>
      <c r="H105" s="66">
        <v>44428</v>
      </c>
      <c r="I105" s="66">
        <v>44792</v>
      </c>
      <c r="J105" s="66">
        <v>45156</v>
      </c>
      <c r="K105" s="5">
        <v>45526</v>
      </c>
      <c r="L105" s="70">
        <v>45891</v>
      </c>
    </row>
    <row r="106" spans="1:14" ht="15.75">
      <c r="A106" s="29">
        <v>8</v>
      </c>
      <c r="B106" s="67" t="s">
        <v>139</v>
      </c>
      <c r="C106" s="67">
        <v>8</v>
      </c>
      <c r="D106" s="67" t="str">
        <f t="shared" si="2"/>
        <v>AGOSTO8</v>
      </c>
      <c r="E106" s="68">
        <v>43356</v>
      </c>
      <c r="F106" s="68">
        <v>43720</v>
      </c>
      <c r="G106" s="66">
        <v>44084</v>
      </c>
      <c r="H106" s="66">
        <v>44456</v>
      </c>
      <c r="I106" s="66">
        <v>44820</v>
      </c>
      <c r="J106" s="66">
        <v>45187</v>
      </c>
      <c r="K106" s="5">
        <v>45554</v>
      </c>
      <c r="L106" s="70">
        <v>45918</v>
      </c>
    </row>
    <row r="107" spans="1:14" ht="31.5">
      <c r="A107" s="29">
        <v>9</v>
      </c>
      <c r="B107" s="67" t="s">
        <v>140</v>
      </c>
      <c r="C107" s="67">
        <v>8</v>
      </c>
      <c r="D107" s="67" t="str">
        <f t="shared" si="2"/>
        <v>SEPTIEMBRE8</v>
      </c>
      <c r="E107" s="68">
        <v>43384</v>
      </c>
      <c r="F107" s="68">
        <v>43748</v>
      </c>
      <c r="G107" s="66">
        <v>44112</v>
      </c>
      <c r="H107" s="66">
        <v>44488</v>
      </c>
      <c r="I107" s="66">
        <v>44853</v>
      </c>
      <c r="J107" s="66">
        <v>45219</v>
      </c>
      <c r="K107" s="5">
        <v>45586</v>
      </c>
      <c r="L107" s="70">
        <v>45951</v>
      </c>
    </row>
    <row r="108" spans="1:14" ht="15.75">
      <c r="A108" s="29">
        <v>10</v>
      </c>
      <c r="B108" s="67" t="s">
        <v>141</v>
      </c>
      <c r="C108" s="67">
        <v>8</v>
      </c>
      <c r="D108" s="67" t="str">
        <f t="shared" si="2"/>
        <v>OCTUBRE8</v>
      </c>
      <c r="E108" s="68">
        <v>43418</v>
      </c>
      <c r="F108" s="68">
        <v>43783</v>
      </c>
      <c r="G108" s="66">
        <v>44147</v>
      </c>
      <c r="H108" s="66">
        <v>44519</v>
      </c>
      <c r="I108" s="66">
        <v>44886</v>
      </c>
      <c r="J108" s="66">
        <v>45250</v>
      </c>
      <c r="K108" s="5">
        <v>45618</v>
      </c>
      <c r="L108" s="70">
        <v>45985</v>
      </c>
    </row>
    <row r="109" spans="1:14" ht="31.5">
      <c r="A109" s="29">
        <v>11</v>
      </c>
      <c r="B109" s="67" t="s">
        <v>142</v>
      </c>
      <c r="C109" s="67">
        <v>8</v>
      </c>
      <c r="D109" s="67" t="str">
        <f t="shared" si="2"/>
        <v>NOVIEMBRE8</v>
      </c>
      <c r="E109" s="68">
        <v>43446</v>
      </c>
      <c r="F109" s="68">
        <v>43811</v>
      </c>
      <c r="G109" s="66">
        <v>44179</v>
      </c>
      <c r="H109" s="66">
        <v>44551</v>
      </c>
      <c r="I109" s="66">
        <v>44916</v>
      </c>
      <c r="J109" s="66">
        <v>45280</v>
      </c>
      <c r="K109" s="5">
        <v>45645</v>
      </c>
      <c r="L109" s="70">
        <v>46010</v>
      </c>
    </row>
    <row r="110" spans="1:14" ht="31.5">
      <c r="A110" s="29">
        <v>12</v>
      </c>
      <c r="B110" s="67" t="s">
        <v>143</v>
      </c>
      <c r="C110" s="67">
        <v>8</v>
      </c>
      <c r="D110" s="67" t="str">
        <f t="shared" si="2"/>
        <v>DICIEMBRE8</v>
      </c>
      <c r="E110" s="68">
        <v>43480</v>
      </c>
      <c r="F110" s="68">
        <v>43844</v>
      </c>
      <c r="G110" s="66">
        <v>44211</v>
      </c>
      <c r="H110" s="66">
        <v>44582</v>
      </c>
      <c r="I110" s="66">
        <v>44946</v>
      </c>
      <c r="J110" s="66">
        <v>45310</v>
      </c>
      <c r="K110" s="5">
        <v>45679</v>
      </c>
      <c r="L110" s="70">
        <v>46044</v>
      </c>
    </row>
    <row r="111" spans="1:14" ht="15.75">
      <c r="A111" s="29">
        <v>1</v>
      </c>
      <c r="B111" s="67" t="s">
        <v>132</v>
      </c>
      <c r="C111" s="67">
        <v>9</v>
      </c>
      <c r="D111" s="67" t="str">
        <f t="shared" si="2"/>
        <v>ENERO9</v>
      </c>
      <c r="E111" s="68">
        <v>43140</v>
      </c>
      <c r="F111" s="68">
        <v>43507</v>
      </c>
      <c r="G111" s="66">
        <v>43873</v>
      </c>
      <c r="H111" s="66">
        <v>44246</v>
      </c>
      <c r="I111" s="66">
        <v>44610</v>
      </c>
      <c r="J111" s="66">
        <v>44974</v>
      </c>
      <c r="K111" s="5">
        <v>45343</v>
      </c>
      <c r="L111" s="70">
        <v>45709</v>
      </c>
    </row>
    <row r="112" spans="1:14" ht="15.75">
      <c r="A112" s="29">
        <v>2</v>
      </c>
      <c r="B112" s="67" t="s">
        <v>133</v>
      </c>
      <c r="C112" s="67">
        <v>9</v>
      </c>
      <c r="D112" s="67" t="str">
        <f t="shared" si="2"/>
        <v>FEBRERO9</v>
      </c>
      <c r="E112" s="68">
        <v>43168</v>
      </c>
      <c r="F112" s="68">
        <v>43535</v>
      </c>
      <c r="G112" s="66">
        <v>43901</v>
      </c>
      <c r="H112" s="66">
        <v>44274</v>
      </c>
      <c r="I112" s="66">
        <v>44638</v>
      </c>
      <c r="J112" s="66">
        <v>45002</v>
      </c>
      <c r="K112" s="5">
        <v>45372</v>
      </c>
      <c r="L112" s="70">
        <v>45737</v>
      </c>
    </row>
    <row r="113" spans="1:13" ht="15.75">
      <c r="A113" s="29">
        <v>3</v>
      </c>
      <c r="B113" s="67" t="s">
        <v>134</v>
      </c>
      <c r="C113" s="67">
        <v>9</v>
      </c>
      <c r="D113" s="67" t="str">
        <f t="shared" si="2"/>
        <v>MARZO9</v>
      </c>
      <c r="E113" s="68">
        <v>43201</v>
      </c>
      <c r="F113" s="68">
        <v>43565</v>
      </c>
      <c r="G113" s="66">
        <v>43936</v>
      </c>
      <c r="H113" s="66">
        <v>44308</v>
      </c>
      <c r="I113" s="66">
        <v>44672</v>
      </c>
      <c r="J113" s="66">
        <v>45036</v>
      </c>
      <c r="K113" s="5">
        <v>45401</v>
      </c>
      <c r="L113" s="70">
        <v>45770</v>
      </c>
    </row>
    <row r="114" spans="1:13" ht="15.75">
      <c r="A114" s="29">
        <v>4</v>
      </c>
      <c r="B114" s="67" t="s">
        <v>135</v>
      </c>
      <c r="C114" s="67">
        <v>9</v>
      </c>
      <c r="D114" s="67" t="str">
        <f t="shared" si="2"/>
        <v>ABRIL9</v>
      </c>
      <c r="E114" s="68">
        <v>43230</v>
      </c>
      <c r="F114" s="68">
        <v>43595</v>
      </c>
      <c r="G114" s="66">
        <v>43964</v>
      </c>
      <c r="H114" s="66">
        <v>44337</v>
      </c>
      <c r="I114" s="66">
        <v>44701</v>
      </c>
      <c r="J114" s="66">
        <v>45065</v>
      </c>
      <c r="K114" s="5">
        <v>45435</v>
      </c>
      <c r="L114" s="70">
        <v>45799</v>
      </c>
    </row>
    <row r="115" spans="1:13" ht="15.75">
      <c r="A115" s="29">
        <v>5</v>
      </c>
      <c r="B115" s="67" t="s">
        <v>136</v>
      </c>
      <c r="C115" s="67">
        <v>9</v>
      </c>
      <c r="D115" s="67" t="str">
        <f t="shared" si="2"/>
        <v>MAYO9</v>
      </c>
      <c r="E115" s="68">
        <v>43265</v>
      </c>
      <c r="F115" s="68">
        <v>43628</v>
      </c>
      <c r="G115" s="66">
        <v>43992</v>
      </c>
      <c r="H115" s="66">
        <v>44369</v>
      </c>
      <c r="I115" s="66">
        <v>44729</v>
      </c>
      <c r="J115" s="66">
        <v>45098</v>
      </c>
      <c r="K115" s="5">
        <v>45468</v>
      </c>
      <c r="L115" s="70">
        <v>45832</v>
      </c>
    </row>
    <row r="116" spans="1:13" ht="15.75">
      <c r="A116" s="29">
        <v>6</v>
      </c>
      <c r="B116" s="67" t="s">
        <v>137</v>
      </c>
      <c r="C116" s="67">
        <v>9</v>
      </c>
      <c r="D116" s="67" t="str">
        <f t="shared" si="2"/>
        <v>JUNIO9</v>
      </c>
      <c r="E116" s="68">
        <v>43292</v>
      </c>
      <c r="F116" s="68">
        <v>43656</v>
      </c>
      <c r="G116" s="66">
        <v>44020</v>
      </c>
      <c r="H116" s="66">
        <v>44398</v>
      </c>
      <c r="I116" s="66">
        <v>44763</v>
      </c>
      <c r="J116" s="66">
        <v>45126</v>
      </c>
      <c r="K116" s="5">
        <v>45495</v>
      </c>
      <c r="L116" s="70">
        <v>45859</v>
      </c>
    </row>
    <row r="117" spans="1:13" ht="15.75">
      <c r="A117" s="29">
        <v>7</v>
      </c>
      <c r="B117" s="67" t="s">
        <v>138</v>
      </c>
      <c r="C117" s="67">
        <v>9</v>
      </c>
      <c r="D117" s="67" t="str">
        <f t="shared" si="2"/>
        <v>JULIO9</v>
      </c>
      <c r="E117" s="68">
        <v>43322</v>
      </c>
      <c r="F117" s="68">
        <v>43689</v>
      </c>
      <c r="G117" s="66">
        <v>44055</v>
      </c>
      <c r="H117" s="66">
        <v>44431</v>
      </c>
      <c r="I117" s="66">
        <v>44795</v>
      </c>
      <c r="J117" s="66">
        <v>45160</v>
      </c>
      <c r="K117" s="5">
        <v>45527</v>
      </c>
      <c r="L117" s="70">
        <v>45894</v>
      </c>
    </row>
    <row r="118" spans="1:13" ht="15.75">
      <c r="A118" s="29">
        <v>8</v>
      </c>
      <c r="B118" s="67" t="s">
        <v>139</v>
      </c>
      <c r="C118" s="67">
        <v>9</v>
      </c>
      <c r="D118" s="67" t="str">
        <f t="shared" si="2"/>
        <v>AGOSTO9</v>
      </c>
      <c r="E118" s="68">
        <v>43355</v>
      </c>
      <c r="F118" s="68">
        <v>43719</v>
      </c>
      <c r="G118" s="66">
        <v>44083</v>
      </c>
      <c r="H118" s="66">
        <v>44459</v>
      </c>
      <c r="I118" s="66">
        <v>44823</v>
      </c>
      <c r="J118" s="66">
        <v>45188</v>
      </c>
      <c r="K118" s="5">
        <v>45555</v>
      </c>
      <c r="L118" s="70">
        <v>45919</v>
      </c>
    </row>
    <row r="119" spans="1:13" ht="31.5">
      <c r="A119" s="29">
        <v>9</v>
      </c>
      <c r="B119" s="67" t="s">
        <v>140</v>
      </c>
      <c r="C119" s="67">
        <v>9</v>
      </c>
      <c r="D119" s="67" t="str">
        <f t="shared" si="2"/>
        <v>SEPTIEMBRE9</v>
      </c>
      <c r="E119" s="68">
        <v>43383</v>
      </c>
      <c r="F119" s="68">
        <v>43747</v>
      </c>
      <c r="G119" s="66">
        <v>44111</v>
      </c>
      <c r="H119" s="66">
        <v>44489</v>
      </c>
      <c r="I119" s="66">
        <v>44854</v>
      </c>
      <c r="J119" s="66">
        <v>45222</v>
      </c>
      <c r="K119" s="5">
        <v>45587</v>
      </c>
      <c r="L119" s="70">
        <v>45952</v>
      </c>
    </row>
    <row r="120" spans="1:13" ht="15.75">
      <c r="A120" s="29">
        <v>10</v>
      </c>
      <c r="B120" s="67" t="s">
        <v>141</v>
      </c>
      <c r="C120" s="67">
        <v>9</v>
      </c>
      <c r="D120" s="67" t="str">
        <f t="shared" si="2"/>
        <v>OCTUBRE9</v>
      </c>
      <c r="E120" s="68">
        <v>43417</v>
      </c>
      <c r="F120" s="68">
        <v>43782</v>
      </c>
      <c r="G120" s="66">
        <v>44146</v>
      </c>
      <c r="H120" s="66">
        <v>44522</v>
      </c>
      <c r="I120" s="66">
        <v>44887</v>
      </c>
      <c r="J120" s="66">
        <v>45251</v>
      </c>
      <c r="K120" s="5">
        <v>45621</v>
      </c>
      <c r="L120" s="70">
        <v>45986</v>
      </c>
    </row>
    <row r="121" spans="1:13" ht="31.5">
      <c r="A121" s="29">
        <v>11</v>
      </c>
      <c r="B121" s="67" t="s">
        <v>142</v>
      </c>
      <c r="C121" s="67">
        <v>9</v>
      </c>
      <c r="D121" s="67" t="str">
        <f t="shared" si="2"/>
        <v>NOVIEMBRE9</v>
      </c>
      <c r="E121" s="68">
        <v>43445</v>
      </c>
      <c r="F121" s="68">
        <v>43810</v>
      </c>
      <c r="G121" s="66">
        <v>44176</v>
      </c>
      <c r="H121" s="66">
        <v>44552</v>
      </c>
      <c r="I121" s="66">
        <v>44917</v>
      </c>
      <c r="J121" s="66">
        <v>45281</v>
      </c>
      <c r="K121" s="5">
        <v>45646</v>
      </c>
      <c r="L121" s="70">
        <v>46013</v>
      </c>
    </row>
    <row r="122" spans="1:13" ht="31.5">
      <c r="A122" s="29">
        <v>12</v>
      </c>
      <c r="B122" s="67" t="s">
        <v>143</v>
      </c>
      <c r="C122" s="67">
        <v>9</v>
      </c>
      <c r="D122" s="67" t="str">
        <f t="shared" si="2"/>
        <v>DICIEMBRE9</v>
      </c>
      <c r="E122" s="68">
        <v>43479</v>
      </c>
      <c r="F122" s="68">
        <v>43843</v>
      </c>
      <c r="G122" s="66">
        <v>44210</v>
      </c>
      <c r="H122" s="66">
        <v>44585</v>
      </c>
      <c r="I122" s="66">
        <v>44949</v>
      </c>
      <c r="J122" s="66">
        <v>45313</v>
      </c>
      <c r="K122" s="5">
        <v>45680</v>
      </c>
      <c r="L122" s="70">
        <v>46045</v>
      </c>
    </row>
    <row r="127" spans="1:13">
      <c r="M127" s="14"/>
    </row>
  </sheetData>
  <mergeCells count="3">
    <mergeCell ref="N1:U1"/>
    <mergeCell ref="W1:AD1"/>
    <mergeCell ref="B1:L1"/>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
  <dimension ref="A1:P126"/>
  <sheetViews>
    <sheetView zoomScale="60" zoomScaleNormal="60" workbookViewId="0">
      <selection activeCell="M9" sqref="M9"/>
    </sheetView>
  </sheetViews>
  <sheetFormatPr baseColWidth="10" defaultRowHeight="15"/>
  <cols>
    <col min="1" max="1" width="21.85546875" style="78" bestFit="1" customWidth="1"/>
    <col min="2" max="2" width="24.28515625" style="78" customWidth="1"/>
    <col min="3" max="3" width="18.7109375" style="78" bestFit="1" customWidth="1"/>
    <col min="4" max="4" width="13" style="78" bestFit="1" customWidth="1"/>
    <col min="5" max="5" width="28.7109375" style="78" bestFit="1" customWidth="1"/>
    <col min="6" max="6" width="17.42578125" style="78" bestFit="1" customWidth="1"/>
    <col min="7" max="7" width="18.7109375" style="78" bestFit="1" customWidth="1"/>
    <col min="9" max="9" width="13" bestFit="1" customWidth="1"/>
    <col min="10" max="10" width="24.28515625" bestFit="1" customWidth="1"/>
    <col min="11" max="11" width="17.140625" bestFit="1" customWidth="1"/>
    <col min="16" max="16" width="11.7109375" bestFit="1" customWidth="1"/>
  </cols>
  <sheetData>
    <row r="1" spans="1:16">
      <c r="A1" s="543" t="s">
        <v>115</v>
      </c>
      <c r="B1" s="543"/>
      <c r="C1" s="543"/>
      <c r="D1" s="543"/>
      <c r="E1" s="543"/>
      <c r="F1" s="543"/>
      <c r="G1" s="543"/>
    </row>
    <row r="2" spans="1:16">
      <c r="A2" s="543" t="s">
        <v>66</v>
      </c>
      <c r="B2" s="543"/>
      <c r="C2" s="543"/>
      <c r="D2" s="73"/>
      <c r="E2" s="543" t="s">
        <v>68</v>
      </c>
      <c r="F2" s="543"/>
      <c r="G2" s="543"/>
    </row>
    <row r="3" spans="1:16">
      <c r="B3" s="73" t="s">
        <v>104</v>
      </c>
      <c r="C3" s="73" t="s">
        <v>105</v>
      </c>
      <c r="D3" s="73"/>
      <c r="E3" s="73" t="s">
        <v>106</v>
      </c>
      <c r="F3" s="73" t="s">
        <v>107</v>
      </c>
      <c r="G3" s="73" t="s">
        <v>105</v>
      </c>
      <c r="K3">
        <v>2020</v>
      </c>
      <c r="L3">
        <v>2021</v>
      </c>
      <c r="M3">
        <v>2022</v>
      </c>
      <c r="N3">
        <v>2023</v>
      </c>
      <c r="O3">
        <v>2024</v>
      </c>
      <c r="P3">
        <v>2025</v>
      </c>
    </row>
    <row r="4" spans="1:16" ht="30">
      <c r="A4" s="78">
        <v>1</v>
      </c>
      <c r="B4" s="75" t="s">
        <v>108</v>
      </c>
      <c r="C4" s="76">
        <v>13200</v>
      </c>
      <c r="D4" s="76"/>
      <c r="E4" s="73">
        <v>1</v>
      </c>
      <c r="F4" s="75">
        <f>E5-1</f>
        <v>500</v>
      </c>
      <c r="G4" s="76">
        <v>3200</v>
      </c>
      <c r="J4" s="75" t="s">
        <v>108</v>
      </c>
      <c r="K4" s="76">
        <v>13200</v>
      </c>
      <c r="L4" s="76">
        <v>13600</v>
      </c>
      <c r="M4" s="76">
        <v>14300</v>
      </c>
      <c r="N4" s="76">
        <v>15900</v>
      </c>
      <c r="O4" s="76">
        <v>17400</v>
      </c>
      <c r="P4" s="76">
        <v>18400</v>
      </c>
    </row>
    <row r="5" spans="1:16">
      <c r="A5" s="78">
        <v>2</v>
      </c>
      <c r="B5" s="73" t="s">
        <v>109</v>
      </c>
      <c r="C5" s="76">
        <v>19800</v>
      </c>
      <c r="D5" s="76"/>
      <c r="E5" s="73">
        <v>501</v>
      </c>
      <c r="F5" s="75">
        <f t="shared" ref="F5:F20" si="0">E6-1</f>
        <v>1000</v>
      </c>
      <c r="G5" s="76">
        <v>4100</v>
      </c>
      <c r="J5" s="73" t="s">
        <v>109</v>
      </c>
      <c r="K5" s="76">
        <v>19800</v>
      </c>
      <c r="L5" s="76">
        <v>20400</v>
      </c>
      <c r="M5" s="76">
        <v>21400</v>
      </c>
      <c r="N5" s="76">
        <v>23900</v>
      </c>
      <c r="O5" s="76">
        <v>26200</v>
      </c>
      <c r="P5" s="76">
        <v>27600</v>
      </c>
    </row>
    <row r="6" spans="1:16" ht="30">
      <c r="A6" s="78">
        <v>3</v>
      </c>
      <c r="B6" s="75" t="s">
        <v>110</v>
      </c>
      <c r="C6" s="76">
        <v>29800</v>
      </c>
      <c r="D6" s="76"/>
      <c r="E6" s="73">
        <v>1001</v>
      </c>
      <c r="F6" s="75">
        <f t="shared" si="0"/>
        <v>2000</v>
      </c>
      <c r="G6" s="76">
        <v>4900</v>
      </c>
      <c r="J6" s="75" t="s">
        <v>110</v>
      </c>
      <c r="K6" s="76">
        <v>29800</v>
      </c>
      <c r="L6" s="76">
        <v>30900</v>
      </c>
      <c r="M6" s="76">
        <v>32300</v>
      </c>
      <c r="N6" s="76">
        <v>36100</v>
      </c>
      <c r="O6" s="76">
        <v>39500</v>
      </c>
      <c r="P6" s="76">
        <v>41700</v>
      </c>
    </row>
    <row r="7" spans="1:16" ht="30">
      <c r="A7" s="78">
        <v>4</v>
      </c>
      <c r="B7" s="75" t="s">
        <v>111</v>
      </c>
      <c r="C7" s="76">
        <v>36000</v>
      </c>
      <c r="D7" s="73"/>
      <c r="E7" s="73">
        <v>2001</v>
      </c>
      <c r="F7" s="75">
        <f t="shared" si="0"/>
        <v>3000</v>
      </c>
      <c r="G7" s="76">
        <v>5700</v>
      </c>
      <c r="J7" s="75" t="s">
        <v>111</v>
      </c>
      <c r="K7" s="76">
        <v>36000</v>
      </c>
      <c r="L7" s="76">
        <v>37200</v>
      </c>
      <c r="M7" s="76">
        <v>39000</v>
      </c>
      <c r="N7" s="76">
        <v>43500</v>
      </c>
      <c r="O7" s="76">
        <v>47600</v>
      </c>
      <c r="P7" s="76">
        <v>50300</v>
      </c>
    </row>
    <row r="8" spans="1:16" ht="30">
      <c r="A8" s="78">
        <v>5</v>
      </c>
      <c r="B8" s="75" t="s">
        <v>112</v>
      </c>
      <c r="C8" s="76">
        <v>49200</v>
      </c>
      <c r="D8" s="73"/>
      <c r="E8" s="73">
        <v>3001</v>
      </c>
      <c r="F8" s="75">
        <f t="shared" si="0"/>
        <v>4000</v>
      </c>
      <c r="G8" s="76">
        <v>6600</v>
      </c>
      <c r="J8" s="75" t="s">
        <v>112</v>
      </c>
      <c r="K8" s="76">
        <v>49200</v>
      </c>
      <c r="L8" s="76">
        <v>50900</v>
      </c>
      <c r="M8" s="76">
        <v>53300</v>
      </c>
      <c r="N8" s="76">
        <v>59400</v>
      </c>
      <c r="O8" s="76">
        <v>65000</v>
      </c>
      <c r="P8" s="76">
        <v>68600</v>
      </c>
    </row>
    <row r="9" spans="1:16" ht="30">
      <c r="A9" s="78">
        <v>6</v>
      </c>
      <c r="B9" s="75" t="s">
        <v>113</v>
      </c>
      <c r="C9" s="76">
        <v>57900</v>
      </c>
      <c r="D9" s="73"/>
      <c r="E9" s="73">
        <v>4001</v>
      </c>
      <c r="F9" s="75">
        <f t="shared" si="0"/>
        <v>5000</v>
      </c>
      <c r="G9" s="76">
        <v>8800</v>
      </c>
      <c r="J9" s="75" t="s">
        <v>113</v>
      </c>
      <c r="K9" s="76">
        <v>57900</v>
      </c>
      <c r="L9" s="76">
        <v>60000</v>
      </c>
      <c r="M9" s="76">
        <v>62800</v>
      </c>
      <c r="N9" s="76">
        <v>70000</v>
      </c>
      <c r="O9" s="76">
        <v>76700</v>
      </c>
      <c r="P9" s="76">
        <v>80900</v>
      </c>
    </row>
    <row r="10" spans="1:16" ht="30">
      <c r="A10" s="78">
        <v>7</v>
      </c>
      <c r="B10" s="75" t="s">
        <v>114</v>
      </c>
      <c r="C10" s="77">
        <v>65800</v>
      </c>
      <c r="D10" s="73"/>
      <c r="E10" s="73">
        <v>5001</v>
      </c>
      <c r="F10" s="75">
        <f t="shared" si="0"/>
        <v>6000</v>
      </c>
      <c r="G10" s="76">
        <v>10500</v>
      </c>
      <c r="J10" s="75" t="s">
        <v>114</v>
      </c>
      <c r="K10" s="77">
        <v>65800</v>
      </c>
      <c r="L10" s="77">
        <v>68100</v>
      </c>
      <c r="M10" s="77">
        <v>71300</v>
      </c>
      <c r="N10" s="77">
        <v>79600</v>
      </c>
      <c r="O10" s="77">
        <v>87200</v>
      </c>
      <c r="P10" s="77">
        <v>92000</v>
      </c>
    </row>
    <row r="11" spans="1:16">
      <c r="D11" s="79"/>
      <c r="E11" s="73">
        <v>6001</v>
      </c>
      <c r="F11" s="75">
        <f t="shared" si="0"/>
        <v>7000</v>
      </c>
      <c r="G11" s="76">
        <v>12300</v>
      </c>
    </row>
    <row r="12" spans="1:16">
      <c r="E12" s="73">
        <v>7001</v>
      </c>
      <c r="F12" s="75">
        <f t="shared" si="0"/>
        <v>8000</v>
      </c>
      <c r="G12" s="76">
        <v>14000</v>
      </c>
    </row>
    <row r="13" spans="1:16">
      <c r="E13" s="73">
        <v>8001</v>
      </c>
      <c r="F13" s="75">
        <f t="shared" si="0"/>
        <v>9000</v>
      </c>
      <c r="G13" s="76">
        <v>19300</v>
      </c>
    </row>
    <row r="14" spans="1:16">
      <c r="E14" s="73">
        <v>9001</v>
      </c>
      <c r="F14" s="75">
        <f t="shared" si="0"/>
        <v>10000</v>
      </c>
      <c r="G14" s="76">
        <v>21100</v>
      </c>
    </row>
    <row r="15" spans="1:16">
      <c r="E15" s="75">
        <v>10001</v>
      </c>
      <c r="F15" s="75">
        <f t="shared" si="0"/>
        <v>11000</v>
      </c>
      <c r="G15" s="76">
        <v>24600</v>
      </c>
    </row>
    <row r="16" spans="1:16">
      <c r="E16" s="75">
        <v>11001</v>
      </c>
      <c r="F16" s="75">
        <f t="shared" si="0"/>
        <v>12000</v>
      </c>
      <c r="G16" s="76">
        <v>28500</v>
      </c>
    </row>
    <row r="17" spans="1:9">
      <c r="E17" s="75">
        <v>12001</v>
      </c>
      <c r="F17" s="75">
        <f t="shared" si="0"/>
        <v>13000</v>
      </c>
      <c r="G17" s="76">
        <v>37300</v>
      </c>
    </row>
    <row r="18" spans="1:9">
      <c r="E18" s="75">
        <v>13001</v>
      </c>
      <c r="F18" s="75">
        <f t="shared" si="0"/>
        <v>14000</v>
      </c>
      <c r="G18" s="76">
        <v>46100</v>
      </c>
    </row>
    <row r="19" spans="1:9">
      <c r="E19" s="75">
        <v>14001</v>
      </c>
      <c r="F19" s="75">
        <f t="shared" si="0"/>
        <v>15000</v>
      </c>
      <c r="G19" s="76">
        <v>57100</v>
      </c>
    </row>
    <row r="20" spans="1:9">
      <c r="E20" s="75">
        <v>15001</v>
      </c>
      <c r="F20" s="75">
        <f t="shared" si="0"/>
        <v>16000</v>
      </c>
      <c r="G20" s="76">
        <v>74600</v>
      </c>
    </row>
    <row r="21" spans="1:9">
      <c r="E21" s="75">
        <v>16001</v>
      </c>
      <c r="F21" s="75" t="s">
        <v>307</v>
      </c>
      <c r="G21" s="76">
        <v>92200</v>
      </c>
    </row>
    <row r="22" spans="1:9">
      <c r="A22" s="543" t="s">
        <v>116</v>
      </c>
      <c r="B22" s="543"/>
      <c r="C22" s="543"/>
      <c r="D22" s="543"/>
      <c r="E22" s="543"/>
      <c r="F22" s="543"/>
      <c r="G22" s="543"/>
    </row>
    <row r="23" spans="1:9">
      <c r="A23" s="543" t="s">
        <v>66</v>
      </c>
      <c r="B23" s="543"/>
      <c r="C23" s="543"/>
      <c r="D23" s="73"/>
      <c r="E23" s="543" t="s">
        <v>68</v>
      </c>
      <c r="F23" s="543"/>
      <c r="G23" s="543"/>
    </row>
    <row r="24" spans="1:9">
      <c r="B24" s="73" t="s">
        <v>104</v>
      </c>
      <c r="C24" s="73" t="s">
        <v>105</v>
      </c>
      <c r="D24" s="73"/>
      <c r="E24" s="73" t="s">
        <v>106</v>
      </c>
      <c r="F24" s="73" t="s">
        <v>107</v>
      </c>
      <c r="G24" s="73" t="s">
        <v>105</v>
      </c>
    </row>
    <row r="25" spans="1:9" ht="30">
      <c r="A25" s="78">
        <v>1</v>
      </c>
      <c r="B25" s="75" t="s">
        <v>108</v>
      </c>
      <c r="C25" s="76">
        <v>13600</v>
      </c>
      <c r="D25" s="73"/>
      <c r="E25" s="73">
        <v>1</v>
      </c>
      <c r="F25" s="75">
        <f>E26-1</f>
        <v>500</v>
      </c>
      <c r="G25" s="76">
        <v>3400</v>
      </c>
    </row>
    <row r="26" spans="1:9">
      <c r="A26" s="78">
        <v>2</v>
      </c>
      <c r="B26" s="73" t="s">
        <v>109</v>
      </c>
      <c r="C26" s="76">
        <v>20400</v>
      </c>
      <c r="D26" s="73"/>
      <c r="E26" s="73">
        <v>501</v>
      </c>
      <c r="F26" s="75">
        <f t="shared" ref="F26:F41" si="1">E27-1</f>
        <v>1000</v>
      </c>
      <c r="G26" s="76">
        <v>4300</v>
      </c>
    </row>
    <row r="27" spans="1:9" ht="30">
      <c r="A27" s="78">
        <v>3</v>
      </c>
      <c r="B27" s="75" t="s">
        <v>110</v>
      </c>
      <c r="C27" s="76">
        <v>30900</v>
      </c>
      <c r="D27" s="73"/>
      <c r="E27" s="73">
        <v>1001</v>
      </c>
      <c r="F27" s="75">
        <f t="shared" si="1"/>
        <v>2000</v>
      </c>
      <c r="G27" s="76">
        <v>5100</v>
      </c>
    </row>
    <row r="28" spans="1:9" ht="30">
      <c r="A28" s="78">
        <v>4</v>
      </c>
      <c r="B28" s="75" t="s">
        <v>111</v>
      </c>
      <c r="C28" s="76">
        <v>37200</v>
      </c>
      <c r="D28" s="73"/>
      <c r="E28" s="73">
        <v>2001</v>
      </c>
      <c r="F28" s="75">
        <f t="shared" si="1"/>
        <v>3000</v>
      </c>
      <c r="G28" s="76">
        <v>5900</v>
      </c>
      <c r="I28" s="72"/>
    </row>
    <row r="29" spans="1:9" ht="30">
      <c r="A29" s="78">
        <v>5</v>
      </c>
      <c r="B29" s="75" t="s">
        <v>112</v>
      </c>
      <c r="C29" s="76">
        <v>50900</v>
      </c>
      <c r="D29" s="73"/>
      <c r="E29" s="73">
        <v>3001</v>
      </c>
      <c r="F29" s="75">
        <f t="shared" si="1"/>
        <v>4000</v>
      </c>
      <c r="G29" s="76">
        <v>6800</v>
      </c>
    </row>
    <row r="30" spans="1:9" ht="30">
      <c r="A30" s="78">
        <v>6</v>
      </c>
      <c r="B30" s="75" t="s">
        <v>113</v>
      </c>
      <c r="C30" s="76">
        <v>60000</v>
      </c>
      <c r="D30" s="73"/>
      <c r="E30" s="73">
        <v>4001</v>
      </c>
      <c r="F30" s="75">
        <f t="shared" si="1"/>
        <v>5000</v>
      </c>
      <c r="G30" s="76">
        <v>9100</v>
      </c>
    </row>
    <row r="31" spans="1:9" ht="30">
      <c r="A31" s="78">
        <v>7</v>
      </c>
      <c r="B31" s="75" t="s">
        <v>114</v>
      </c>
      <c r="C31" s="77">
        <v>68100</v>
      </c>
      <c r="D31" s="73"/>
      <c r="E31" s="73">
        <v>5001</v>
      </c>
      <c r="F31" s="75">
        <f t="shared" si="1"/>
        <v>6000</v>
      </c>
      <c r="G31" s="76">
        <v>10900</v>
      </c>
    </row>
    <row r="32" spans="1:9">
      <c r="E32" s="73">
        <v>6001</v>
      </c>
      <c r="F32" s="75">
        <f t="shared" si="1"/>
        <v>7000</v>
      </c>
      <c r="G32" s="76">
        <v>12700</v>
      </c>
    </row>
    <row r="33" spans="1:7">
      <c r="E33" s="73">
        <v>7001</v>
      </c>
      <c r="F33" s="75">
        <f t="shared" si="1"/>
        <v>8000</v>
      </c>
      <c r="G33" s="76">
        <v>14500</v>
      </c>
    </row>
    <row r="34" spans="1:7">
      <c r="E34" s="73">
        <v>8001</v>
      </c>
      <c r="F34" s="75">
        <f t="shared" si="1"/>
        <v>9000</v>
      </c>
      <c r="G34" s="76">
        <v>20000</v>
      </c>
    </row>
    <row r="35" spans="1:7">
      <c r="E35" s="73">
        <v>9001</v>
      </c>
      <c r="F35" s="75">
        <f t="shared" si="1"/>
        <v>10000</v>
      </c>
      <c r="G35" s="76">
        <v>21800</v>
      </c>
    </row>
    <row r="36" spans="1:7">
      <c r="E36" s="75">
        <v>10001</v>
      </c>
      <c r="F36" s="75">
        <f t="shared" si="1"/>
        <v>11000</v>
      </c>
      <c r="G36" s="76">
        <v>25400</v>
      </c>
    </row>
    <row r="37" spans="1:7">
      <c r="E37" s="75">
        <v>11001</v>
      </c>
      <c r="F37" s="75">
        <f t="shared" si="1"/>
        <v>12000</v>
      </c>
      <c r="G37" s="76">
        <v>29500</v>
      </c>
    </row>
    <row r="38" spans="1:7">
      <c r="E38" s="75">
        <v>12001</v>
      </c>
      <c r="F38" s="75">
        <f t="shared" si="1"/>
        <v>13000</v>
      </c>
      <c r="G38" s="76">
        <v>38600</v>
      </c>
    </row>
    <row r="39" spans="1:7">
      <c r="E39" s="75">
        <v>13001</v>
      </c>
      <c r="F39" s="75">
        <f t="shared" si="1"/>
        <v>14000</v>
      </c>
      <c r="G39" s="76">
        <v>47700</v>
      </c>
    </row>
    <row r="40" spans="1:7">
      <c r="E40" s="75">
        <v>14001</v>
      </c>
      <c r="F40" s="75">
        <f t="shared" si="1"/>
        <v>15000</v>
      </c>
      <c r="G40" s="76">
        <v>59100</v>
      </c>
    </row>
    <row r="41" spans="1:7">
      <c r="E41" s="75">
        <v>15001</v>
      </c>
      <c r="F41" s="75">
        <f t="shared" si="1"/>
        <v>16000</v>
      </c>
      <c r="G41" s="76">
        <v>77200</v>
      </c>
    </row>
    <row r="42" spans="1:7">
      <c r="E42" s="75">
        <v>16001</v>
      </c>
      <c r="F42" s="75" t="s">
        <v>307</v>
      </c>
      <c r="G42" s="76">
        <v>95400</v>
      </c>
    </row>
    <row r="43" spans="1:7">
      <c r="A43" s="543" t="s">
        <v>117</v>
      </c>
      <c r="B43" s="543"/>
      <c r="C43" s="543"/>
      <c r="D43" s="543"/>
      <c r="E43" s="543"/>
      <c r="F43" s="543"/>
      <c r="G43" s="543"/>
    </row>
    <row r="44" spans="1:7">
      <c r="A44" s="543" t="s">
        <v>66</v>
      </c>
      <c r="B44" s="543"/>
      <c r="C44" s="543"/>
      <c r="D44" s="73"/>
      <c r="E44" s="543" t="s">
        <v>68</v>
      </c>
      <c r="F44" s="543"/>
      <c r="G44" s="543"/>
    </row>
    <row r="45" spans="1:7">
      <c r="B45" s="73" t="s">
        <v>104</v>
      </c>
      <c r="C45" s="73" t="s">
        <v>105</v>
      </c>
      <c r="D45" s="73"/>
      <c r="E45" s="73" t="s">
        <v>106</v>
      </c>
      <c r="F45" s="73" t="s">
        <v>107</v>
      </c>
      <c r="G45" s="73" t="s">
        <v>105</v>
      </c>
    </row>
    <row r="46" spans="1:7" ht="30">
      <c r="A46" s="78">
        <v>1</v>
      </c>
      <c r="B46" s="75" t="s">
        <v>108</v>
      </c>
      <c r="C46" s="76">
        <v>14300</v>
      </c>
      <c r="D46" s="73"/>
      <c r="E46" s="73">
        <v>1</v>
      </c>
      <c r="F46" s="75">
        <f>E47-1</f>
        <v>500</v>
      </c>
      <c r="G46" s="76">
        <v>3600</v>
      </c>
    </row>
    <row r="47" spans="1:7">
      <c r="A47" s="78">
        <v>2</v>
      </c>
      <c r="B47" s="73" t="s">
        <v>109</v>
      </c>
      <c r="C47" s="76">
        <v>21400</v>
      </c>
      <c r="D47" s="73"/>
      <c r="E47" s="73">
        <v>501</v>
      </c>
      <c r="F47" s="75">
        <f t="shared" ref="F47:F62" si="2">E48-1</f>
        <v>1000</v>
      </c>
      <c r="G47" s="76">
        <v>4500</v>
      </c>
    </row>
    <row r="48" spans="1:7" ht="30">
      <c r="A48" s="78">
        <v>3</v>
      </c>
      <c r="B48" s="75" t="s">
        <v>110</v>
      </c>
      <c r="C48" s="76">
        <v>32300</v>
      </c>
      <c r="D48" s="73"/>
      <c r="E48" s="73">
        <v>1001</v>
      </c>
      <c r="F48" s="75">
        <f t="shared" si="2"/>
        <v>2000</v>
      </c>
      <c r="G48" s="76">
        <v>5300</v>
      </c>
    </row>
    <row r="49" spans="1:7" ht="30">
      <c r="A49" s="78">
        <v>4</v>
      </c>
      <c r="B49" s="75" t="s">
        <v>111</v>
      </c>
      <c r="C49" s="76">
        <v>39000</v>
      </c>
      <c r="D49" s="73"/>
      <c r="E49" s="73">
        <v>2001</v>
      </c>
      <c r="F49" s="75">
        <f t="shared" si="2"/>
        <v>3000</v>
      </c>
      <c r="G49" s="76">
        <v>6200</v>
      </c>
    </row>
    <row r="50" spans="1:7" ht="30">
      <c r="A50" s="78">
        <v>5</v>
      </c>
      <c r="B50" s="75" t="s">
        <v>112</v>
      </c>
      <c r="C50" s="76">
        <v>53300</v>
      </c>
      <c r="D50" s="73"/>
      <c r="E50" s="73">
        <v>3001</v>
      </c>
      <c r="F50" s="75">
        <f t="shared" si="2"/>
        <v>4000</v>
      </c>
      <c r="G50" s="76">
        <v>7100</v>
      </c>
    </row>
    <row r="51" spans="1:7" ht="30">
      <c r="A51" s="78">
        <v>6</v>
      </c>
      <c r="B51" s="75" t="s">
        <v>113</v>
      </c>
      <c r="C51" s="76">
        <v>62800</v>
      </c>
      <c r="D51" s="73"/>
      <c r="E51" s="73">
        <v>4001</v>
      </c>
      <c r="F51" s="75">
        <f t="shared" si="2"/>
        <v>5000</v>
      </c>
      <c r="G51" s="76">
        <v>9500</v>
      </c>
    </row>
    <row r="52" spans="1:7" ht="30">
      <c r="A52" s="78">
        <v>7</v>
      </c>
      <c r="B52" s="75" t="s">
        <v>114</v>
      </c>
      <c r="C52" s="77">
        <v>71300</v>
      </c>
      <c r="D52" s="73"/>
      <c r="E52" s="73">
        <v>5001</v>
      </c>
      <c r="F52" s="75">
        <f t="shared" si="2"/>
        <v>6000</v>
      </c>
      <c r="G52" s="76">
        <v>11400</v>
      </c>
    </row>
    <row r="53" spans="1:7">
      <c r="E53" s="73">
        <v>6001</v>
      </c>
      <c r="F53" s="75">
        <f t="shared" si="2"/>
        <v>7000</v>
      </c>
      <c r="G53" s="76">
        <v>13300</v>
      </c>
    </row>
    <row r="54" spans="1:7">
      <c r="E54" s="73">
        <v>7001</v>
      </c>
      <c r="F54" s="75">
        <f t="shared" si="2"/>
        <v>8000</v>
      </c>
      <c r="G54" s="76">
        <v>15200</v>
      </c>
    </row>
    <row r="55" spans="1:7">
      <c r="E55" s="73">
        <v>8001</v>
      </c>
      <c r="F55" s="75">
        <f t="shared" si="2"/>
        <v>9000</v>
      </c>
      <c r="G55" s="76">
        <v>20900</v>
      </c>
    </row>
    <row r="56" spans="1:7">
      <c r="E56" s="73">
        <v>9001</v>
      </c>
      <c r="F56" s="75">
        <f t="shared" si="2"/>
        <v>10000</v>
      </c>
      <c r="G56" s="76">
        <v>22800</v>
      </c>
    </row>
    <row r="57" spans="1:7">
      <c r="E57" s="75">
        <v>10001</v>
      </c>
      <c r="F57" s="75">
        <f t="shared" si="2"/>
        <v>11000</v>
      </c>
      <c r="G57" s="76">
        <v>26600</v>
      </c>
    </row>
    <row r="58" spans="1:7">
      <c r="E58" s="75">
        <v>11001</v>
      </c>
      <c r="F58" s="75">
        <f t="shared" si="2"/>
        <v>12000</v>
      </c>
      <c r="G58" s="76">
        <v>30900</v>
      </c>
    </row>
    <row r="59" spans="1:7">
      <c r="E59" s="75">
        <v>12001</v>
      </c>
      <c r="F59" s="75">
        <f t="shared" si="2"/>
        <v>13000</v>
      </c>
      <c r="G59" s="76">
        <v>40400</v>
      </c>
    </row>
    <row r="60" spans="1:7">
      <c r="E60" s="75">
        <v>13001</v>
      </c>
      <c r="F60" s="75">
        <f t="shared" si="2"/>
        <v>14000</v>
      </c>
      <c r="G60" s="76">
        <v>49900</v>
      </c>
    </row>
    <row r="61" spans="1:7">
      <c r="E61" s="75">
        <v>14001</v>
      </c>
      <c r="F61" s="75">
        <f t="shared" si="2"/>
        <v>15000</v>
      </c>
      <c r="G61" s="76">
        <v>61800</v>
      </c>
    </row>
    <row r="62" spans="1:7">
      <c r="E62" s="75">
        <v>15001</v>
      </c>
      <c r="F62" s="75">
        <f t="shared" si="2"/>
        <v>16000</v>
      </c>
      <c r="G62" s="76">
        <v>80800</v>
      </c>
    </row>
    <row r="63" spans="1:7">
      <c r="E63" s="75">
        <v>16001</v>
      </c>
      <c r="F63" s="75" t="s">
        <v>307</v>
      </c>
      <c r="G63" s="76">
        <v>99900</v>
      </c>
    </row>
    <row r="64" spans="1:7">
      <c r="A64" s="543" t="s">
        <v>118</v>
      </c>
      <c r="B64" s="543"/>
      <c r="C64" s="543"/>
      <c r="D64" s="543"/>
      <c r="E64" s="543"/>
      <c r="F64" s="543"/>
      <c r="G64" s="543"/>
    </row>
    <row r="65" spans="1:7">
      <c r="A65" s="543" t="s">
        <v>66</v>
      </c>
      <c r="B65" s="543"/>
      <c r="C65" s="543"/>
      <c r="D65" s="73"/>
      <c r="E65" s="543" t="s">
        <v>68</v>
      </c>
      <c r="F65" s="543"/>
      <c r="G65" s="543"/>
    </row>
    <row r="66" spans="1:7">
      <c r="B66" s="73" t="s">
        <v>104</v>
      </c>
      <c r="C66" s="73" t="s">
        <v>105</v>
      </c>
      <c r="D66" s="73"/>
      <c r="E66" s="73" t="s">
        <v>106</v>
      </c>
      <c r="F66" s="73" t="s">
        <v>107</v>
      </c>
      <c r="G66" s="73" t="s">
        <v>105</v>
      </c>
    </row>
    <row r="67" spans="1:7" ht="30">
      <c r="A67" s="78">
        <v>1</v>
      </c>
      <c r="B67" s="75" t="s">
        <v>108</v>
      </c>
      <c r="C67" s="76">
        <v>15900</v>
      </c>
      <c r="D67" s="73"/>
      <c r="E67" s="73">
        <v>1</v>
      </c>
      <c r="F67" s="75">
        <f>E68-1</f>
        <v>500</v>
      </c>
      <c r="G67" s="76">
        <v>4000</v>
      </c>
    </row>
    <row r="68" spans="1:7">
      <c r="A68" s="78">
        <v>2</v>
      </c>
      <c r="B68" s="73" t="s">
        <v>109</v>
      </c>
      <c r="C68" s="76">
        <v>23900</v>
      </c>
      <c r="D68" s="73"/>
      <c r="E68" s="73">
        <v>501</v>
      </c>
      <c r="F68" s="75">
        <f t="shared" ref="F68:F83" si="3">E69-1</f>
        <v>1000</v>
      </c>
      <c r="G68" s="76">
        <v>5000</v>
      </c>
    </row>
    <row r="69" spans="1:7" ht="30">
      <c r="A69" s="78">
        <v>3</v>
      </c>
      <c r="B69" s="75" t="s">
        <v>110</v>
      </c>
      <c r="C69" s="76">
        <v>36100</v>
      </c>
      <c r="D69" s="73"/>
      <c r="E69" s="73">
        <v>1001</v>
      </c>
      <c r="F69" s="75">
        <f t="shared" si="3"/>
        <v>2000</v>
      </c>
      <c r="G69" s="76">
        <v>6000</v>
      </c>
    </row>
    <row r="70" spans="1:7" ht="30">
      <c r="A70" s="78">
        <v>4</v>
      </c>
      <c r="B70" s="75" t="s">
        <v>111</v>
      </c>
      <c r="C70" s="76">
        <v>43500</v>
      </c>
      <c r="D70" s="73"/>
      <c r="E70" s="73">
        <v>2001</v>
      </c>
      <c r="F70" s="75">
        <f t="shared" si="3"/>
        <v>3000</v>
      </c>
      <c r="G70" s="76">
        <v>6900</v>
      </c>
    </row>
    <row r="71" spans="1:7" ht="30">
      <c r="A71" s="78">
        <v>5</v>
      </c>
      <c r="B71" s="75" t="s">
        <v>112</v>
      </c>
      <c r="C71" s="76">
        <v>59400</v>
      </c>
      <c r="D71" s="73"/>
      <c r="E71" s="73">
        <v>3001</v>
      </c>
      <c r="F71" s="75">
        <f t="shared" si="3"/>
        <v>4000</v>
      </c>
      <c r="G71" s="76">
        <v>7900</v>
      </c>
    </row>
    <row r="72" spans="1:7" ht="30">
      <c r="A72" s="78">
        <v>6</v>
      </c>
      <c r="B72" s="75" t="s">
        <v>113</v>
      </c>
      <c r="C72" s="76">
        <v>70000</v>
      </c>
      <c r="D72" s="73"/>
      <c r="E72" s="73">
        <v>4001</v>
      </c>
      <c r="F72" s="75">
        <f t="shared" si="3"/>
        <v>5000</v>
      </c>
      <c r="G72" s="76">
        <v>10600</v>
      </c>
    </row>
    <row r="73" spans="1:7" ht="30">
      <c r="A73" s="78">
        <v>7</v>
      </c>
      <c r="B73" s="75" t="s">
        <v>114</v>
      </c>
      <c r="C73" s="77">
        <v>79600</v>
      </c>
      <c r="D73" s="73"/>
      <c r="E73" s="73">
        <v>5001</v>
      </c>
      <c r="F73" s="75">
        <f t="shared" si="3"/>
        <v>6000</v>
      </c>
      <c r="G73" s="76">
        <v>12700</v>
      </c>
    </row>
    <row r="74" spans="1:7">
      <c r="E74" s="73">
        <v>6001</v>
      </c>
      <c r="F74" s="75">
        <f t="shared" si="3"/>
        <v>7000</v>
      </c>
      <c r="G74" s="76">
        <v>14800</v>
      </c>
    </row>
    <row r="75" spans="1:7">
      <c r="E75" s="73">
        <v>7001</v>
      </c>
      <c r="F75" s="75">
        <f t="shared" si="3"/>
        <v>8000</v>
      </c>
      <c r="G75" s="76">
        <v>16900</v>
      </c>
    </row>
    <row r="76" spans="1:7">
      <c r="E76" s="73">
        <v>8001</v>
      </c>
      <c r="F76" s="75">
        <f t="shared" si="3"/>
        <v>9000</v>
      </c>
      <c r="G76" s="76">
        <v>23400</v>
      </c>
    </row>
    <row r="77" spans="1:7">
      <c r="E77" s="73">
        <v>9001</v>
      </c>
      <c r="F77" s="75">
        <f t="shared" si="3"/>
        <v>10000</v>
      </c>
      <c r="G77" s="76">
        <v>25500</v>
      </c>
    </row>
    <row r="78" spans="1:7">
      <c r="E78" s="75">
        <v>10001</v>
      </c>
      <c r="F78" s="75">
        <f t="shared" si="3"/>
        <v>11000</v>
      </c>
      <c r="G78" s="76">
        <v>29700</v>
      </c>
    </row>
    <row r="79" spans="1:7">
      <c r="E79" s="75">
        <v>11001</v>
      </c>
      <c r="F79" s="75">
        <f t="shared" si="3"/>
        <v>12000</v>
      </c>
      <c r="G79" s="76">
        <v>34500</v>
      </c>
    </row>
    <row r="80" spans="1:7">
      <c r="E80" s="75">
        <v>12001</v>
      </c>
      <c r="F80" s="75">
        <f t="shared" si="3"/>
        <v>13000</v>
      </c>
      <c r="G80" s="76">
        <v>45100</v>
      </c>
    </row>
    <row r="81" spans="1:11">
      <c r="E81" s="75">
        <v>13001</v>
      </c>
      <c r="F81" s="75">
        <f t="shared" si="3"/>
        <v>14000</v>
      </c>
      <c r="G81" s="76">
        <v>55700</v>
      </c>
    </row>
    <row r="82" spans="1:11">
      <c r="E82" s="75">
        <v>14001</v>
      </c>
      <c r="F82" s="75">
        <f t="shared" si="3"/>
        <v>15000</v>
      </c>
      <c r="G82" s="76">
        <v>68900</v>
      </c>
    </row>
    <row r="83" spans="1:11">
      <c r="E83" s="75">
        <v>15001</v>
      </c>
      <c r="F83" s="75">
        <f t="shared" si="3"/>
        <v>16000</v>
      </c>
      <c r="G83" s="76">
        <v>90200</v>
      </c>
    </row>
    <row r="84" spans="1:11">
      <c r="E84" s="75">
        <v>16001</v>
      </c>
      <c r="F84" s="75" t="s">
        <v>307</v>
      </c>
      <c r="G84" s="76">
        <v>111400</v>
      </c>
      <c r="K84" s="80"/>
    </row>
    <row r="85" spans="1:11">
      <c r="A85" s="543" t="s">
        <v>119</v>
      </c>
      <c r="B85" s="543"/>
      <c r="C85" s="543"/>
      <c r="D85" s="543"/>
      <c r="E85" s="543"/>
      <c r="F85" s="543"/>
      <c r="G85" s="543"/>
    </row>
    <row r="86" spans="1:11">
      <c r="A86" s="543" t="s">
        <v>66</v>
      </c>
      <c r="B86" s="543"/>
      <c r="C86" s="543"/>
      <c r="D86" s="73"/>
      <c r="E86" s="543" t="s">
        <v>68</v>
      </c>
      <c r="F86" s="543"/>
      <c r="G86" s="543"/>
    </row>
    <row r="87" spans="1:11">
      <c r="B87" s="73" t="s">
        <v>104</v>
      </c>
      <c r="C87" s="73" t="s">
        <v>105</v>
      </c>
      <c r="D87" s="73"/>
      <c r="E87" s="73" t="s">
        <v>106</v>
      </c>
      <c r="F87" s="73" t="s">
        <v>107</v>
      </c>
      <c r="G87" s="73" t="s">
        <v>105</v>
      </c>
    </row>
    <row r="88" spans="1:11" ht="30">
      <c r="A88" s="78">
        <v>1</v>
      </c>
      <c r="B88" s="75" t="s">
        <v>108</v>
      </c>
      <c r="C88" s="76">
        <v>17400</v>
      </c>
      <c r="D88" s="73">
        <v>1</v>
      </c>
      <c r="E88" s="73">
        <v>1</v>
      </c>
      <c r="F88" s="75">
        <f>E89-1</f>
        <v>500</v>
      </c>
      <c r="G88" s="76">
        <v>4300</v>
      </c>
    </row>
    <row r="89" spans="1:11">
      <c r="A89" s="78">
        <v>2</v>
      </c>
      <c r="B89" s="73" t="s">
        <v>109</v>
      </c>
      <c r="C89" s="76">
        <v>26200</v>
      </c>
      <c r="D89" s="73">
        <v>2</v>
      </c>
      <c r="E89" s="73">
        <v>501</v>
      </c>
      <c r="F89" s="75">
        <f t="shared" ref="F89:F104" si="4">E90-1</f>
        <v>1000</v>
      </c>
      <c r="G89" s="76">
        <v>5500</v>
      </c>
    </row>
    <row r="90" spans="1:11" ht="30">
      <c r="A90" s="78">
        <v>3</v>
      </c>
      <c r="B90" s="75" t="s">
        <v>110</v>
      </c>
      <c r="C90" s="76">
        <v>39500</v>
      </c>
      <c r="D90" s="73">
        <v>3</v>
      </c>
      <c r="E90" s="73">
        <v>1001</v>
      </c>
      <c r="F90" s="75">
        <f t="shared" si="4"/>
        <v>2000</v>
      </c>
      <c r="G90" s="76">
        <v>6500</v>
      </c>
    </row>
    <row r="91" spans="1:11" ht="30">
      <c r="A91" s="78">
        <v>4</v>
      </c>
      <c r="B91" s="75" t="s">
        <v>111</v>
      </c>
      <c r="C91" s="76">
        <v>47600</v>
      </c>
      <c r="D91" s="73">
        <v>4</v>
      </c>
      <c r="E91" s="73">
        <v>2001</v>
      </c>
      <c r="F91" s="75">
        <f t="shared" si="4"/>
        <v>3000</v>
      </c>
      <c r="G91" s="76">
        <v>7500</v>
      </c>
    </row>
    <row r="92" spans="1:11" ht="30">
      <c r="A92" s="78">
        <v>5</v>
      </c>
      <c r="B92" s="75" t="s">
        <v>112</v>
      </c>
      <c r="C92" s="76">
        <v>65000</v>
      </c>
      <c r="D92" s="73">
        <v>5</v>
      </c>
      <c r="E92" s="73">
        <v>3001</v>
      </c>
      <c r="F92" s="75">
        <f t="shared" si="4"/>
        <v>4000</v>
      </c>
      <c r="G92" s="76">
        <v>8700</v>
      </c>
    </row>
    <row r="93" spans="1:11" ht="30">
      <c r="A93" s="78">
        <v>6</v>
      </c>
      <c r="B93" s="75" t="s">
        <v>113</v>
      </c>
      <c r="C93" s="76">
        <v>76700</v>
      </c>
      <c r="D93" s="73">
        <v>6</v>
      </c>
      <c r="E93" s="73">
        <v>4001</v>
      </c>
      <c r="F93" s="75">
        <f t="shared" si="4"/>
        <v>5000</v>
      </c>
      <c r="G93" s="76">
        <v>11600</v>
      </c>
    </row>
    <row r="94" spans="1:11" ht="30">
      <c r="A94" s="78">
        <v>7</v>
      </c>
      <c r="B94" s="75" t="s">
        <v>114</v>
      </c>
      <c r="C94" s="77">
        <v>87200</v>
      </c>
      <c r="D94" s="73">
        <v>7</v>
      </c>
      <c r="E94" s="73">
        <v>5001</v>
      </c>
      <c r="F94" s="75">
        <f t="shared" si="4"/>
        <v>6000</v>
      </c>
      <c r="G94" s="76">
        <v>13900</v>
      </c>
    </row>
    <row r="95" spans="1:11">
      <c r="D95" s="78">
        <v>8</v>
      </c>
      <c r="E95" s="73">
        <v>6001</v>
      </c>
      <c r="F95" s="75">
        <f t="shared" si="4"/>
        <v>7000</v>
      </c>
      <c r="G95" s="76">
        <v>16200</v>
      </c>
    </row>
    <row r="96" spans="1:11">
      <c r="D96" s="78">
        <v>9</v>
      </c>
      <c r="E96" s="73">
        <v>7001</v>
      </c>
      <c r="F96" s="75">
        <f t="shared" si="4"/>
        <v>8000</v>
      </c>
      <c r="G96" s="76">
        <v>18500</v>
      </c>
    </row>
    <row r="97" spans="1:7">
      <c r="D97" s="78">
        <v>10</v>
      </c>
      <c r="E97" s="73">
        <v>8001</v>
      </c>
      <c r="F97" s="75">
        <f t="shared" si="4"/>
        <v>9000</v>
      </c>
      <c r="G97" s="76">
        <v>25600</v>
      </c>
    </row>
    <row r="98" spans="1:7">
      <c r="D98" s="78">
        <v>11</v>
      </c>
      <c r="E98" s="73">
        <v>9001</v>
      </c>
      <c r="F98" s="75">
        <f t="shared" si="4"/>
        <v>10000</v>
      </c>
      <c r="G98" s="76">
        <v>27900</v>
      </c>
    </row>
    <row r="99" spans="1:7">
      <c r="D99" s="78">
        <v>12</v>
      </c>
      <c r="E99" s="75">
        <v>10001</v>
      </c>
      <c r="F99" s="75">
        <f t="shared" si="4"/>
        <v>11000</v>
      </c>
      <c r="G99" s="76">
        <v>32500</v>
      </c>
    </row>
    <row r="100" spans="1:7">
      <c r="D100" s="78">
        <v>13</v>
      </c>
      <c r="E100" s="75">
        <v>11001</v>
      </c>
      <c r="F100" s="75">
        <f t="shared" si="4"/>
        <v>12000</v>
      </c>
      <c r="G100" s="76">
        <v>37800</v>
      </c>
    </row>
    <row r="101" spans="1:7">
      <c r="D101" s="78">
        <v>14</v>
      </c>
      <c r="E101" s="75">
        <v>12001</v>
      </c>
      <c r="F101" s="75">
        <f t="shared" si="4"/>
        <v>13000</v>
      </c>
      <c r="G101" s="76">
        <v>49400</v>
      </c>
    </row>
    <row r="102" spans="1:7">
      <c r="D102" s="78">
        <v>15</v>
      </c>
      <c r="E102" s="75">
        <v>13001</v>
      </c>
      <c r="F102" s="75">
        <f t="shared" si="4"/>
        <v>14000</v>
      </c>
      <c r="G102" s="76">
        <v>61000</v>
      </c>
    </row>
    <row r="103" spans="1:7">
      <c r="D103" s="78">
        <v>16</v>
      </c>
      <c r="E103" s="75">
        <v>14001</v>
      </c>
      <c r="F103" s="75">
        <f t="shared" si="4"/>
        <v>15000</v>
      </c>
      <c r="G103" s="76">
        <v>75500</v>
      </c>
    </row>
    <row r="104" spans="1:7">
      <c r="D104" s="78">
        <v>17</v>
      </c>
      <c r="E104" s="75">
        <v>15001</v>
      </c>
      <c r="F104" s="75">
        <f t="shared" si="4"/>
        <v>16000</v>
      </c>
      <c r="G104" s="76">
        <v>98800</v>
      </c>
    </row>
    <row r="105" spans="1:7">
      <c r="D105" s="78">
        <v>18</v>
      </c>
      <c r="E105" s="75">
        <v>16001</v>
      </c>
      <c r="F105" s="75" t="s">
        <v>307</v>
      </c>
      <c r="G105" s="76">
        <v>122000</v>
      </c>
    </row>
    <row r="106" spans="1:7">
      <c r="A106" s="543" t="s">
        <v>292</v>
      </c>
      <c r="B106" s="543"/>
      <c r="C106" s="543"/>
      <c r="D106" s="543"/>
      <c r="E106" s="543"/>
      <c r="F106" s="543"/>
      <c r="G106" s="543"/>
    </row>
    <row r="107" spans="1:7">
      <c r="A107" s="543" t="s">
        <v>66</v>
      </c>
      <c r="B107" s="543"/>
      <c r="C107" s="543"/>
      <c r="D107" s="73"/>
      <c r="E107" s="543" t="s">
        <v>68</v>
      </c>
      <c r="F107" s="543"/>
      <c r="G107" s="543"/>
    </row>
    <row r="108" spans="1:7">
      <c r="B108" s="73" t="s">
        <v>104</v>
      </c>
      <c r="C108" s="73" t="s">
        <v>105</v>
      </c>
      <c r="D108" s="73"/>
      <c r="E108" s="544" t="s">
        <v>106</v>
      </c>
      <c r="F108" s="545"/>
      <c r="G108" s="73" t="s">
        <v>105</v>
      </c>
    </row>
    <row r="109" spans="1:7" ht="30">
      <c r="A109" s="78">
        <v>1</v>
      </c>
      <c r="B109" s="75" t="s">
        <v>108</v>
      </c>
      <c r="C109" s="76">
        <v>18400</v>
      </c>
      <c r="D109" s="73"/>
      <c r="E109" s="73">
        <v>1</v>
      </c>
      <c r="F109" s="75">
        <f>E110-1</f>
        <v>500</v>
      </c>
      <c r="G109" s="76">
        <v>4600</v>
      </c>
    </row>
    <row r="110" spans="1:7">
      <c r="A110" s="78">
        <v>2</v>
      </c>
      <c r="B110" s="73" t="s">
        <v>109</v>
      </c>
      <c r="C110" s="76">
        <v>27600</v>
      </c>
      <c r="D110" s="73"/>
      <c r="E110" s="73">
        <v>501</v>
      </c>
      <c r="F110" s="75">
        <f t="shared" ref="F110:F125" si="5">E111-1</f>
        <v>1000</v>
      </c>
      <c r="G110" s="76">
        <v>5800</v>
      </c>
    </row>
    <row r="111" spans="1:7" ht="30">
      <c r="A111" s="78">
        <v>3</v>
      </c>
      <c r="B111" s="75" t="s">
        <v>110</v>
      </c>
      <c r="C111" s="76">
        <v>41700</v>
      </c>
      <c r="D111" s="73"/>
      <c r="E111" s="73">
        <v>1001</v>
      </c>
      <c r="F111" s="75">
        <f t="shared" si="5"/>
        <v>2000</v>
      </c>
      <c r="G111" s="76">
        <v>6900</v>
      </c>
    </row>
    <row r="112" spans="1:7" ht="30">
      <c r="A112" s="78">
        <v>4</v>
      </c>
      <c r="B112" s="75" t="s">
        <v>111</v>
      </c>
      <c r="C112" s="76">
        <v>50300</v>
      </c>
      <c r="D112" s="73"/>
      <c r="E112" s="73">
        <v>2001</v>
      </c>
      <c r="F112" s="75">
        <f t="shared" si="5"/>
        <v>3000</v>
      </c>
      <c r="G112" s="76">
        <v>8000</v>
      </c>
    </row>
    <row r="113" spans="1:7" ht="30">
      <c r="A113" s="78">
        <v>5</v>
      </c>
      <c r="B113" s="75" t="s">
        <v>112</v>
      </c>
      <c r="C113" s="76">
        <v>65000</v>
      </c>
      <c r="D113" s="73"/>
      <c r="E113" s="73">
        <v>3001</v>
      </c>
      <c r="F113" s="75">
        <f t="shared" si="5"/>
        <v>4000</v>
      </c>
      <c r="G113" s="76">
        <v>9200</v>
      </c>
    </row>
    <row r="114" spans="1:7" ht="30">
      <c r="A114" s="78">
        <v>6</v>
      </c>
      <c r="B114" s="75" t="s">
        <v>113</v>
      </c>
      <c r="C114" s="76">
        <v>80900</v>
      </c>
      <c r="D114" s="73"/>
      <c r="E114" s="73">
        <v>4001</v>
      </c>
      <c r="F114" s="75">
        <f t="shared" si="5"/>
        <v>5000</v>
      </c>
      <c r="G114" s="76">
        <v>12200</v>
      </c>
    </row>
    <row r="115" spans="1:7" ht="30">
      <c r="A115" s="78">
        <v>7</v>
      </c>
      <c r="B115" s="75" t="s">
        <v>114</v>
      </c>
      <c r="C115" s="77">
        <v>92000</v>
      </c>
      <c r="D115" s="73"/>
      <c r="E115" s="73">
        <v>5001</v>
      </c>
      <c r="F115" s="75">
        <f t="shared" si="5"/>
        <v>6000</v>
      </c>
      <c r="G115" s="76">
        <v>14700</v>
      </c>
    </row>
    <row r="116" spans="1:7">
      <c r="E116" s="73">
        <v>6001</v>
      </c>
      <c r="F116" s="75">
        <f t="shared" si="5"/>
        <v>7000</v>
      </c>
      <c r="G116" s="76">
        <v>17100</v>
      </c>
    </row>
    <row r="117" spans="1:7">
      <c r="E117" s="73">
        <v>7001</v>
      </c>
      <c r="F117" s="75">
        <f t="shared" si="5"/>
        <v>8000</v>
      </c>
      <c r="G117" s="76">
        <v>19500</v>
      </c>
    </row>
    <row r="118" spans="1:7">
      <c r="E118" s="73">
        <v>8001</v>
      </c>
      <c r="F118" s="75">
        <f t="shared" si="5"/>
        <v>9000</v>
      </c>
      <c r="G118" s="76">
        <v>27000</v>
      </c>
    </row>
    <row r="119" spans="1:7">
      <c r="E119" s="73">
        <v>9001</v>
      </c>
      <c r="F119" s="75">
        <f t="shared" si="5"/>
        <v>10000</v>
      </c>
      <c r="G119" s="76">
        <v>29500</v>
      </c>
    </row>
    <row r="120" spans="1:7">
      <c r="E120" s="75">
        <v>10001</v>
      </c>
      <c r="F120" s="75">
        <f t="shared" si="5"/>
        <v>11000</v>
      </c>
      <c r="G120" s="76">
        <v>34300</v>
      </c>
    </row>
    <row r="121" spans="1:7">
      <c r="E121" s="75">
        <v>11001</v>
      </c>
      <c r="F121" s="75">
        <f t="shared" si="5"/>
        <v>12000</v>
      </c>
      <c r="G121" s="76">
        <v>39900</v>
      </c>
    </row>
    <row r="122" spans="1:7">
      <c r="E122" s="75">
        <v>12001</v>
      </c>
      <c r="F122" s="75">
        <f t="shared" si="5"/>
        <v>13000</v>
      </c>
      <c r="G122" s="76">
        <v>52100</v>
      </c>
    </row>
    <row r="123" spans="1:7">
      <c r="E123" s="75">
        <v>13001</v>
      </c>
      <c r="F123" s="75">
        <f t="shared" si="5"/>
        <v>14000</v>
      </c>
      <c r="G123" s="76">
        <v>64300</v>
      </c>
    </row>
    <row r="124" spans="1:7">
      <c r="E124" s="75">
        <v>14001</v>
      </c>
      <c r="F124" s="75">
        <f t="shared" si="5"/>
        <v>15000</v>
      </c>
      <c r="G124" s="76">
        <v>79600</v>
      </c>
    </row>
    <row r="125" spans="1:7">
      <c r="E125" s="75">
        <v>15001</v>
      </c>
      <c r="F125" s="75">
        <f t="shared" si="5"/>
        <v>16000</v>
      </c>
      <c r="G125" s="76">
        <v>104200</v>
      </c>
    </row>
    <row r="126" spans="1:7">
      <c r="E126" s="75">
        <v>16001</v>
      </c>
      <c r="F126" s="75" t="s">
        <v>307</v>
      </c>
      <c r="G126" s="76">
        <v>128700</v>
      </c>
    </row>
  </sheetData>
  <mergeCells count="19">
    <mergeCell ref="E108:F108"/>
    <mergeCell ref="A85:G85"/>
    <mergeCell ref="A86:C86"/>
    <mergeCell ref="E86:G86"/>
    <mergeCell ref="A106:G106"/>
    <mergeCell ref="A107:C107"/>
    <mergeCell ref="E107:G107"/>
    <mergeCell ref="A43:G43"/>
    <mergeCell ref="A44:C44"/>
    <mergeCell ref="E44:G44"/>
    <mergeCell ref="A64:G64"/>
    <mergeCell ref="A65:C65"/>
    <mergeCell ref="E65:G65"/>
    <mergeCell ref="A2:C2"/>
    <mergeCell ref="E2:G2"/>
    <mergeCell ref="A1:G1"/>
    <mergeCell ref="A22:G22"/>
    <mergeCell ref="A23:C23"/>
    <mergeCell ref="E23:G2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4"/>
  <dimension ref="A1:T101"/>
  <sheetViews>
    <sheetView topLeftCell="A66" zoomScale="63" zoomScaleNormal="80" workbookViewId="0">
      <selection activeCell="D95" sqref="D95"/>
    </sheetView>
  </sheetViews>
  <sheetFormatPr baseColWidth="10" defaultRowHeight="15.75"/>
  <cols>
    <col min="1" max="1" width="14.7109375" customWidth="1"/>
    <col min="2" max="2" width="16.5703125" style="1" bestFit="1" customWidth="1"/>
    <col min="3" max="3" width="18.85546875" style="233" bestFit="1" customWidth="1"/>
    <col min="4" max="4" width="23.140625" style="2" bestFit="1" customWidth="1"/>
    <col min="5" max="5" width="16.140625" bestFit="1" customWidth="1"/>
    <col min="6" max="6" width="30.7109375" bestFit="1" customWidth="1"/>
    <col min="7" max="7" width="12.7109375" bestFit="1" customWidth="1"/>
    <col min="9" max="9" width="17" bestFit="1" customWidth="1"/>
    <col min="10" max="10" width="12.28515625" bestFit="1" customWidth="1"/>
    <col min="13" max="13" width="20.140625" bestFit="1" customWidth="1"/>
    <col min="15" max="15" width="15.140625" bestFit="1" customWidth="1"/>
    <col min="16" max="16" width="18.28515625" customWidth="1"/>
    <col min="17" max="17" width="17.5703125" customWidth="1"/>
    <col min="18" max="18" width="13.7109375" bestFit="1" customWidth="1"/>
  </cols>
  <sheetData>
    <row r="1" spans="1:20" s="29" customFormat="1">
      <c r="A1" s="81" t="s">
        <v>0</v>
      </c>
      <c r="B1" s="82"/>
      <c r="C1" s="83" t="s">
        <v>2</v>
      </c>
      <c r="D1" s="84" t="s">
        <v>3</v>
      </c>
      <c r="E1" s="130"/>
      <c r="F1" t="s">
        <v>72</v>
      </c>
      <c r="G1" t="s">
        <v>73</v>
      </c>
      <c r="H1" s="131"/>
      <c r="I1" s="29" t="s">
        <v>120</v>
      </c>
      <c r="J1" s="29" t="s">
        <v>121</v>
      </c>
      <c r="K1" s="85" t="s">
        <v>122</v>
      </c>
      <c r="M1" s="29" t="s">
        <v>305</v>
      </c>
      <c r="N1" s="29" t="s">
        <v>288</v>
      </c>
      <c r="O1" s="29" t="s">
        <v>289</v>
      </c>
      <c r="P1" s="29" t="s">
        <v>290</v>
      </c>
    </row>
    <row r="2" spans="1:20">
      <c r="A2" s="86">
        <v>2019</v>
      </c>
      <c r="B2" s="87"/>
      <c r="C2" s="88"/>
      <c r="D2" s="89"/>
      <c r="F2" t="s">
        <v>72</v>
      </c>
      <c r="G2" t="s">
        <v>73</v>
      </c>
      <c r="I2" s="546" t="s">
        <v>74</v>
      </c>
      <c r="J2" s="546"/>
      <c r="K2" s="546"/>
      <c r="M2" s="128"/>
      <c r="N2" s="128" t="s">
        <v>288</v>
      </c>
      <c r="O2" s="128" t="s">
        <v>289</v>
      </c>
      <c r="P2" s="128" t="s">
        <v>290</v>
      </c>
    </row>
    <row r="3" spans="1:20">
      <c r="A3" s="81" t="s">
        <v>0</v>
      </c>
      <c r="B3" s="82"/>
      <c r="C3" s="83" t="s">
        <v>2</v>
      </c>
      <c r="D3" s="84" t="s">
        <v>3</v>
      </c>
      <c r="F3" s="29">
        <v>4600</v>
      </c>
      <c r="G3" s="29">
        <f>F3/2</f>
        <v>2300</v>
      </c>
      <c r="I3" s="29" t="s">
        <v>120</v>
      </c>
      <c r="J3" s="29" t="s">
        <v>121</v>
      </c>
      <c r="K3" s="85" t="s">
        <v>122</v>
      </c>
      <c r="M3" s="56">
        <v>12400</v>
      </c>
      <c r="N3" s="29"/>
      <c r="O3" s="71">
        <f>M3*N3</f>
        <v>0</v>
      </c>
      <c r="P3" s="71">
        <f t="shared" ref="P3:P9" si="0">O3/2</f>
        <v>0</v>
      </c>
    </row>
    <row r="4" spans="1:20" ht="30">
      <c r="A4" s="90" t="s">
        <v>38</v>
      </c>
      <c r="B4" s="91"/>
      <c r="C4" s="92"/>
      <c r="D4" s="93"/>
      <c r="E4" s="94" t="str">
        <f>IF(AND(EOMONTH(DATE($A$2,MONTH("1-"&amp;A4&amp;"-"&amp;$A$2),1),0)&gt;=Generales!$B$4,DATE($A$2,MONTH("1-"&amp;A4&amp;"-"&amp;$A$2),1)&lt;=Generales!$C$4),"","FUERA DE RANGO")</f>
        <v>FUERA DE RANGO</v>
      </c>
      <c r="I4" s="29"/>
      <c r="J4" s="29"/>
      <c r="K4" s="29">
        <f>(J4-I4)+1</f>
        <v>1</v>
      </c>
      <c r="M4" s="56">
        <v>18600</v>
      </c>
      <c r="N4" s="29"/>
      <c r="O4" s="95">
        <f>N4*M4</f>
        <v>0</v>
      </c>
      <c r="P4" s="95">
        <f t="shared" si="0"/>
        <v>0</v>
      </c>
    </row>
    <row r="5" spans="1:20" ht="30">
      <c r="A5" s="90" t="s">
        <v>17</v>
      </c>
      <c r="B5" s="91"/>
      <c r="C5" s="92"/>
      <c r="D5" s="93"/>
      <c r="E5" s="94" t="str">
        <f>IF(AND(EOMONTH(DATE($A$2,MONTH("1-"&amp;A5&amp;"-"&amp;$A$2),1),0)&gt;=Generales!$B$4,DATE($A$2,MONTH("1-"&amp;A5&amp;"-"&amp;$A$2),1)&lt;=Generales!$C$4),"","FUERA DE RANGO")</f>
        <v>FUERA DE RANGO</v>
      </c>
      <c r="I5" s="29">
        <f>J4+1</f>
        <v>1</v>
      </c>
      <c r="J5" s="29"/>
      <c r="K5" s="29">
        <f t="shared" ref="K5:K68" si="1">(J5-I5)+1</f>
        <v>0</v>
      </c>
      <c r="M5" s="76">
        <v>28200</v>
      </c>
      <c r="N5" s="29"/>
      <c r="O5" s="71">
        <f>M5*N5</f>
        <v>0</v>
      </c>
      <c r="P5" s="71">
        <f t="shared" si="0"/>
        <v>0</v>
      </c>
    </row>
    <row r="6" spans="1:20" ht="30">
      <c r="A6" s="90" t="s">
        <v>18</v>
      </c>
      <c r="B6" s="91"/>
      <c r="C6" s="92"/>
      <c r="D6" s="93"/>
      <c r="E6" s="94" t="str">
        <f>IF(AND(EOMONTH(DATE($A$2,MONTH("1-"&amp;A6&amp;"-"&amp;$A$2),1),0)&gt;=Generales!$B$4,DATE($A$2,MONTH("1-"&amp;A6&amp;"-"&amp;$A$2),1)&lt;=Generales!$C$4),"","FUERA DE RANGO")</f>
        <v>FUERA DE RANGO</v>
      </c>
      <c r="G6" s="98"/>
      <c r="I6" s="29">
        <f>J5+1</f>
        <v>1</v>
      </c>
      <c r="J6" s="29"/>
      <c r="K6" s="29">
        <f t="shared" si="1"/>
        <v>0</v>
      </c>
      <c r="M6" s="76">
        <v>34000</v>
      </c>
      <c r="N6" s="29"/>
      <c r="O6" s="71">
        <f>M6*N6</f>
        <v>0</v>
      </c>
      <c r="P6" s="71">
        <f t="shared" si="0"/>
        <v>0</v>
      </c>
    </row>
    <row r="7" spans="1:20" ht="30">
      <c r="A7" s="90" t="s">
        <v>19</v>
      </c>
      <c r="B7" s="91"/>
      <c r="C7" s="92"/>
      <c r="D7" s="96"/>
      <c r="E7" s="94" t="str">
        <f>IF(AND(EOMONTH(DATE($A$2,MONTH("1-"&amp;A7&amp;"-"&amp;$A$2),1),0)&gt;=Generales!$B$4,DATE($A$2,MONTH("1-"&amp;A7&amp;"-"&amp;$A$2),1)&lt;=Generales!$C$4),"","FUERA DE RANGO")</f>
        <v>FUERA DE RANGO</v>
      </c>
      <c r="I7" s="29">
        <f>J6+1</f>
        <v>1</v>
      </c>
      <c r="J7" s="29"/>
      <c r="K7" s="29">
        <f t="shared" si="1"/>
        <v>0</v>
      </c>
      <c r="M7" s="76">
        <v>46400</v>
      </c>
      <c r="N7" s="29"/>
      <c r="O7" s="71">
        <f>M7*N7</f>
        <v>0</v>
      </c>
      <c r="P7" s="71">
        <f t="shared" si="0"/>
        <v>0</v>
      </c>
    </row>
    <row r="8" spans="1:20" ht="30">
      <c r="A8" s="90" t="s">
        <v>20</v>
      </c>
      <c r="B8" s="91"/>
      <c r="C8" s="92"/>
      <c r="D8" s="93"/>
      <c r="E8" s="94" t="str">
        <f>IF(AND(EOMONTH(DATE($A$2,MONTH("1-"&amp;A8&amp;"-"&amp;$A$2),1),0)&gt;=Generales!$B$4,DATE($A$2,MONTH("1-"&amp;A8&amp;"-"&amp;$A$2),1)&lt;=Generales!$C$4),"","FUERA DE RANGO")</f>
        <v>FUERA DE RANGO</v>
      </c>
      <c r="G8" s="98"/>
      <c r="I8" s="29">
        <v>1717</v>
      </c>
      <c r="J8" s="29"/>
      <c r="K8" s="29">
        <f t="shared" si="1"/>
        <v>-1716</v>
      </c>
      <c r="M8" s="76">
        <v>54700</v>
      </c>
      <c r="N8" s="29"/>
      <c r="O8" s="71">
        <f>M8*N8</f>
        <v>0</v>
      </c>
      <c r="P8" s="71">
        <f t="shared" si="0"/>
        <v>0</v>
      </c>
    </row>
    <row r="9" spans="1:20" ht="30">
      <c r="A9" s="90" t="s">
        <v>21</v>
      </c>
      <c r="B9" s="91"/>
      <c r="C9" s="92"/>
      <c r="D9" s="93"/>
      <c r="E9" s="94" t="str">
        <f>IF(AND(EOMONTH(DATE($A$2,MONTH("1-"&amp;A9&amp;"-"&amp;$A$2),1),0)&gt;=Generales!$B$4,DATE($A$2,MONTH("1-"&amp;A9&amp;"-"&amp;$A$2),1)&lt;=Generales!$C$4),"","FUERA DE RANGO")</f>
        <v>FUERA DE RANGO</v>
      </c>
      <c r="I9" s="29">
        <f>J8+1</f>
        <v>1</v>
      </c>
      <c r="J9" s="29"/>
      <c r="K9" s="29">
        <f t="shared" si="1"/>
        <v>0</v>
      </c>
      <c r="M9" s="77">
        <v>62100</v>
      </c>
      <c r="N9" s="29"/>
      <c r="O9" s="29">
        <f>M9*N9</f>
        <v>0</v>
      </c>
      <c r="P9" s="71">
        <f t="shared" si="0"/>
        <v>0</v>
      </c>
    </row>
    <row r="10" spans="1:20">
      <c r="A10" s="97"/>
      <c r="B10" s="243"/>
      <c r="D10" s="28"/>
      <c r="I10" s="29"/>
      <c r="J10" s="29"/>
      <c r="K10" s="29">
        <f t="shared" si="1"/>
        <v>1</v>
      </c>
      <c r="N10" s="29">
        <f>SUM(N3:N9)</f>
        <v>0</v>
      </c>
      <c r="O10" s="71">
        <f>SUM(O3:O9)</f>
        <v>0</v>
      </c>
      <c r="P10" s="71">
        <f>SUM(P3:P9)</f>
        <v>0</v>
      </c>
    </row>
    <row r="11" spans="1:20">
      <c r="A11" s="108"/>
      <c r="B11" s="244"/>
      <c r="D11" s="28"/>
      <c r="I11" s="29"/>
      <c r="J11" s="29"/>
      <c r="K11" s="29">
        <f t="shared" si="1"/>
        <v>1</v>
      </c>
    </row>
    <row r="12" spans="1:20">
      <c r="A12" s="86">
        <v>2020</v>
      </c>
      <c r="B12" s="87"/>
      <c r="C12" s="88"/>
      <c r="D12" s="89"/>
      <c r="I12" s="29"/>
      <c r="J12" s="29"/>
      <c r="K12" s="29">
        <f t="shared" si="1"/>
        <v>1</v>
      </c>
      <c r="T12" s="72"/>
    </row>
    <row r="13" spans="1:20">
      <c r="A13" s="81" t="s">
        <v>0</v>
      </c>
      <c r="B13" s="82" t="s">
        <v>1</v>
      </c>
      <c r="C13" s="83" t="s">
        <v>2</v>
      </c>
      <c r="D13" s="84" t="s">
        <v>3</v>
      </c>
      <c r="F13" s="29">
        <f>VLOOKUP(G14,'Resoluciones de Tarifas'!E4:G21,3,TRUE)</f>
        <v>3200</v>
      </c>
      <c r="G13" s="29">
        <f>F13/2</f>
        <v>1600</v>
      </c>
      <c r="I13" s="29"/>
      <c r="J13" s="29"/>
      <c r="K13" s="29">
        <f t="shared" si="1"/>
        <v>1</v>
      </c>
      <c r="M13" t="s">
        <v>350</v>
      </c>
    </row>
    <row r="14" spans="1:20" ht="30">
      <c r="A14" s="90" t="s">
        <v>22</v>
      </c>
      <c r="B14" s="91" t="s">
        <v>291</v>
      </c>
      <c r="C14" s="92"/>
      <c r="D14" s="96">
        <v>43866</v>
      </c>
      <c r="E14" s="98" t="str">
        <f>IF(AND(EOMONTH(DATE($A$12,MONTH("1-"&amp;A14&amp;"-"&amp;$A$12),1),0)&gt;=Generales!$B$4,DATE($A$12,MONTH("1-"&amp;A14&amp;"-"&amp;$A$12),1)&lt;=Generales!$C$4),"","FUERA DE RANGO")</f>
        <v>FUERA DE RANGO</v>
      </c>
      <c r="F14" s="132" t="s">
        <v>339</v>
      </c>
      <c r="G14" s="29">
        <f>G15-G16-G17</f>
        <v>1</v>
      </c>
      <c r="I14" s="29">
        <v>1</v>
      </c>
      <c r="J14" s="29"/>
      <c r="K14" s="29">
        <f t="shared" si="1"/>
        <v>0</v>
      </c>
      <c r="M14" s="29" t="s">
        <v>294</v>
      </c>
      <c r="N14" s="29">
        <v>2020</v>
      </c>
      <c r="R14" s="72"/>
    </row>
    <row r="15" spans="1:20">
      <c r="A15" s="90" t="s">
        <v>23</v>
      </c>
      <c r="B15" s="91" t="s">
        <v>291</v>
      </c>
      <c r="C15" s="92"/>
      <c r="D15" s="96">
        <v>43896</v>
      </c>
      <c r="E15" s="98" t="str">
        <f>IF(AND(EOMONTH(DATE($A$12,MONTH("1-"&amp;A15&amp;"-"&amp;$A$12),1),0)&gt;=Generales!$B$4,DATE($A$12,MONTH("1-"&amp;A15&amp;"-"&amp;$A$12),1)&lt;=Generales!$C$4),"","FUERA DE RANGO")</f>
        <v>FUERA DE RANGO</v>
      </c>
      <c r="F15" s="29" t="s">
        <v>341</v>
      </c>
      <c r="G15" s="29">
        <f>K10</f>
        <v>1</v>
      </c>
      <c r="I15" s="29"/>
      <c r="J15" s="29"/>
      <c r="K15" s="29"/>
      <c r="M15" s="76">
        <f>HLOOKUP($N$14,'Resoluciones de Tarifas'!$K$3:$P$10,2,FALSE)</f>
        <v>13200</v>
      </c>
      <c r="N15" s="29"/>
      <c r="O15" s="71">
        <f t="shared" ref="O15:O21" si="2">M15*N15</f>
        <v>0</v>
      </c>
      <c r="P15" s="71">
        <f t="shared" ref="P15:P21" si="3">O15/2</f>
        <v>0</v>
      </c>
      <c r="R15" s="72"/>
    </row>
    <row r="16" spans="1:20">
      <c r="A16" s="90" t="s">
        <v>23</v>
      </c>
      <c r="B16" s="91" t="s">
        <v>291</v>
      </c>
      <c r="C16" s="92"/>
      <c r="D16" s="96">
        <v>43896</v>
      </c>
      <c r="E16" s="98" t="str">
        <f>IF(AND(EOMONTH(DATE($A$12,MONTH("1-"&amp;A16&amp;"-"&amp;$A$12),1),0)&gt;=Generales!$B$4,DATE($A$12,MONTH("1-"&amp;A16&amp;"-"&amp;$A$12),1)&lt;=Generales!$C$4),"","FUERA DE RANGO")</f>
        <v>FUERA DE RANGO</v>
      </c>
      <c r="F16" s="74" t="s">
        <v>340</v>
      </c>
      <c r="G16" s="74">
        <v>0</v>
      </c>
      <c r="I16" s="29">
        <f>J14+1</f>
        <v>1</v>
      </c>
      <c r="J16" s="29"/>
      <c r="K16" s="29">
        <f t="shared" si="1"/>
        <v>0</v>
      </c>
      <c r="M16" s="76">
        <f>HLOOKUP($N$14,'Resoluciones de Tarifas'!$K$3:$P$10,3,FALSE)</f>
        <v>19800</v>
      </c>
      <c r="N16" s="29"/>
      <c r="O16" s="71">
        <f t="shared" si="2"/>
        <v>0</v>
      </c>
      <c r="P16" s="71">
        <f t="shared" si="3"/>
        <v>0</v>
      </c>
    </row>
    <row r="17" spans="1:18">
      <c r="A17" s="90" t="s">
        <v>24</v>
      </c>
      <c r="B17" s="91" t="s">
        <v>291</v>
      </c>
      <c r="C17" s="92"/>
      <c r="D17" s="96">
        <v>43935</v>
      </c>
      <c r="E17" s="98" t="str">
        <f>IF(AND(EOMONTH(DATE($A$12,MONTH("1-"&amp;A17&amp;"-"&amp;$A$12),1),0)&gt;=Generales!$B$4,DATE($A$12,MONTH("1-"&amp;A17&amp;"-"&amp;$A$12),1)&lt;=Generales!$C$4),"","FUERA DE RANGO")</f>
        <v>FUERA DE RANGO</v>
      </c>
      <c r="F17" s="74" t="s">
        <v>342</v>
      </c>
      <c r="G17" s="74">
        <v>0</v>
      </c>
      <c r="I17" s="29">
        <f t="shared" ref="I17:I26" si="4">J16+1</f>
        <v>1</v>
      </c>
      <c r="J17" s="29"/>
      <c r="K17" s="29">
        <f t="shared" si="1"/>
        <v>0</v>
      </c>
      <c r="M17" s="76">
        <f>HLOOKUP($N$14,'Resoluciones de Tarifas'!$K$3:$P$10,4,FALSE)</f>
        <v>29800</v>
      </c>
      <c r="N17" s="29"/>
      <c r="O17" s="71">
        <f t="shared" si="2"/>
        <v>0</v>
      </c>
      <c r="P17" s="71">
        <f t="shared" si="3"/>
        <v>0</v>
      </c>
    </row>
    <row r="18" spans="1:18">
      <c r="A18" s="90" t="s">
        <v>25</v>
      </c>
      <c r="B18" s="91" t="s">
        <v>291</v>
      </c>
      <c r="C18" s="92"/>
      <c r="D18" s="93">
        <v>43963</v>
      </c>
      <c r="E18" s="98" t="str">
        <f>IF(AND(EOMONTH(DATE($A$12,MONTH("1-"&amp;A18&amp;"-"&amp;$A$12),1),0)&gt;=Generales!$B$4,DATE($A$12,MONTH("1-"&amp;A18&amp;"-"&amp;$A$12),1)&lt;=Generales!$C$4),"","FUERA DE RANGO")</f>
        <v>FUERA DE RANGO</v>
      </c>
      <c r="I18" s="29">
        <f t="shared" si="4"/>
        <v>1</v>
      </c>
      <c r="J18" s="29"/>
      <c r="K18" s="29">
        <f t="shared" si="1"/>
        <v>0</v>
      </c>
      <c r="M18" s="76">
        <f>HLOOKUP($N$14,'Resoluciones de Tarifas'!$K$3:$P$10,5,FALSE)</f>
        <v>36000</v>
      </c>
      <c r="N18" s="29"/>
      <c r="O18" s="71">
        <f t="shared" si="2"/>
        <v>0</v>
      </c>
      <c r="P18" s="71">
        <f t="shared" si="3"/>
        <v>0</v>
      </c>
      <c r="R18" s="72"/>
    </row>
    <row r="19" spans="1:18">
      <c r="A19" s="90" t="s">
        <v>14</v>
      </c>
      <c r="B19" s="91" t="s">
        <v>291</v>
      </c>
      <c r="C19" s="92"/>
      <c r="D19" s="96">
        <v>43985</v>
      </c>
      <c r="E19" s="98" t="str">
        <f>IF(AND(EOMONTH(DATE($A$12,MONTH("1-"&amp;A19&amp;"-"&amp;$A$12),1),0)&gt;=Generales!$B$4,DATE($A$12,MONTH("1-"&amp;A19&amp;"-"&amp;$A$12),1)&lt;=Generales!$C$4),"","FUERA DE RANGO")</f>
        <v>FUERA DE RANGO</v>
      </c>
      <c r="I19" s="29">
        <f t="shared" si="4"/>
        <v>1</v>
      </c>
      <c r="J19" s="29"/>
      <c r="K19" s="29">
        <f t="shared" si="1"/>
        <v>0</v>
      </c>
      <c r="M19" s="76">
        <f>HLOOKUP($N$14,'Resoluciones de Tarifas'!$K$3:$P$10,6,FALSE)</f>
        <v>49200</v>
      </c>
      <c r="N19" s="29"/>
      <c r="O19" s="71">
        <f t="shared" si="2"/>
        <v>0</v>
      </c>
      <c r="P19" s="71">
        <f t="shared" si="3"/>
        <v>0</v>
      </c>
    </row>
    <row r="20" spans="1:18">
      <c r="A20" s="90" t="s">
        <v>15</v>
      </c>
      <c r="B20" s="91" t="s">
        <v>291</v>
      </c>
      <c r="C20" s="92"/>
      <c r="D20" s="93">
        <v>44021</v>
      </c>
      <c r="E20" s="98" t="str">
        <f>IF(AND(EOMONTH(DATE($A$12,MONTH("1-"&amp;A20&amp;"-"&amp;$A$12),1),0)&gt;=Generales!$B$4,DATE($A$12,MONTH("1-"&amp;A20&amp;"-"&amp;$A$12),1)&lt;=Generales!$C$4),"","FUERA DE RANGO")</f>
        <v>FUERA DE RANGO</v>
      </c>
      <c r="I20" s="29">
        <f t="shared" si="4"/>
        <v>1</v>
      </c>
      <c r="J20" s="29"/>
      <c r="K20" s="29">
        <f t="shared" si="1"/>
        <v>0</v>
      </c>
      <c r="M20" s="76">
        <f>HLOOKUP($N$14,'Resoluciones de Tarifas'!$K$3:$P$10,7,FALSE)</f>
        <v>57900</v>
      </c>
      <c r="N20" s="29"/>
      <c r="O20" s="71">
        <f t="shared" si="2"/>
        <v>0</v>
      </c>
      <c r="P20" s="71">
        <f t="shared" si="3"/>
        <v>0</v>
      </c>
    </row>
    <row r="21" spans="1:18">
      <c r="A21" s="90" t="s">
        <v>38</v>
      </c>
      <c r="B21" s="91" t="s">
        <v>291</v>
      </c>
      <c r="C21" s="92"/>
      <c r="D21" s="93">
        <v>44054</v>
      </c>
      <c r="E21" s="98" t="str">
        <f>IF(AND(EOMONTH(DATE($A$12,MONTH("1-"&amp;A21&amp;"-"&amp;$A$12),1),0)&gt;=Generales!$B$4,DATE($A$12,MONTH("1-"&amp;A21&amp;"-"&amp;$A$12),1)&lt;=Generales!$C$4),"","FUERA DE RANGO")</f>
        <v>FUERA DE RANGO</v>
      </c>
      <c r="I21" s="29">
        <f t="shared" si="4"/>
        <v>1</v>
      </c>
      <c r="J21" s="29"/>
      <c r="K21" s="29">
        <f t="shared" si="1"/>
        <v>0</v>
      </c>
      <c r="M21" s="76">
        <f>HLOOKUP($N$14,'Resoluciones de Tarifas'!$K$3:$P$10,8,FALSE)</f>
        <v>65800</v>
      </c>
      <c r="N21" s="29"/>
      <c r="O21" s="71">
        <f t="shared" si="2"/>
        <v>0</v>
      </c>
      <c r="P21" s="71">
        <f t="shared" si="3"/>
        <v>0</v>
      </c>
    </row>
    <row r="22" spans="1:18">
      <c r="A22" s="90" t="s">
        <v>17</v>
      </c>
      <c r="B22" s="91" t="s">
        <v>291</v>
      </c>
      <c r="C22" s="92"/>
      <c r="D22" s="93">
        <v>44084</v>
      </c>
      <c r="E22" s="98" t="str">
        <f>IF(AND(EOMONTH(DATE($A$12,MONTH("1-"&amp;A22&amp;"-"&amp;$A$12),1),0)&gt;=Generales!$B$4,DATE($A$12,MONTH("1-"&amp;A22&amp;"-"&amp;$A$12),1)&lt;=Generales!$C$4),"","FUERA DE RANGO")</f>
        <v>FUERA DE RANGO</v>
      </c>
      <c r="I22" s="29">
        <f t="shared" si="4"/>
        <v>1</v>
      </c>
      <c r="J22" s="29"/>
      <c r="K22" s="29">
        <f t="shared" si="1"/>
        <v>0</v>
      </c>
      <c r="N22" s="29">
        <f>SUM(N15:N21)</f>
        <v>0</v>
      </c>
      <c r="O22" s="71">
        <f>SUM(O15:O21)</f>
        <v>0</v>
      </c>
      <c r="P22" s="71">
        <f>SUM(P15:P21)</f>
        <v>0</v>
      </c>
    </row>
    <row r="23" spans="1:18">
      <c r="A23" s="90" t="s">
        <v>18</v>
      </c>
      <c r="B23" s="91" t="s">
        <v>291</v>
      </c>
      <c r="C23" s="92"/>
      <c r="D23" s="93">
        <v>44117</v>
      </c>
      <c r="E23" s="98" t="str">
        <f>IF(AND(EOMONTH(DATE($A$12,MONTH("1-"&amp;A23&amp;"-"&amp;$A$12),1),0)&gt;=Generales!$B$4,DATE($A$12,MONTH("1-"&amp;A23&amp;"-"&amp;$A$12),1)&lt;=Generales!$C$4),"","FUERA DE RANGO")</f>
        <v>FUERA DE RANGO</v>
      </c>
      <c r="I23" s="29">
        <f t="shared" si="4"/>
        <v>1</v>
      </c>
      <c r="J23" s="29"/>
      <c r="K23" s="29">
        <f t="shared" si="1"/>
        <v>0</v>
      </c>
    </row>
    <row r="24" spans="1:18">
      <c r="A24" s="90" t="s">
        <v>19</v>
      </c>
      <c r="B24" s="91" t="s">
        <v>291</v>
      </c>
      <c r="C24" s="92"/>
      <c r="D24" s="96">
        <v>44145</v>
      </c>
      <c r="E24" s="98" t="str">
        <f>IF(AND(EOMONTH(DATE($A$12,MONTH("1-"&amp;A24&amp;"-"&amp;$A$12),1),0)&gt;=Generales!$B$4,DATE($A$12,MONTH("1-"&amp;A24&amp;"-"&amp;$A$12),1)&lt;=Generales!$C$4),"","FUERA DE RANGO")</f>
        <v>FUERA DE RANGO</v>
      </c>
      <c r="I24" s="29">
        <f t="shared" si="4"/>
        <v>1</v>
      </c>
      <c r="J24" s="29"/>
      <c r="K24" s="29">
        <f t="shared" si="1"/>
        <v>0</v>
      </c>
    </row>
    <row r="25" spans="1:18">
      <c r="A25" s="90" t="s">
        <v>20</v>
      </c>
      <c r="B25" s="91" t="s">
        <v>291</v>
      </c>
      <c r="C25" s="92"/>
      <c r="D25" s="93">
        <v>44175</v>
      </c>
      <c r="E25" s="98" t="str">
        <f>IF(AND(EOMONTH(DATE($A$12,MONTH("1-"&amp;A25&amp;"-"&amp;$A$12),1),0)&gt;=Generales!$B$4,DATE($A$12,MONTH("1-"&amp;A25&amp;"-"&amp;$A$12),1)&lt;=Generales!$C$4),"","FUERA DE RANGO")</f>
        <v>FUERA DE RANGO</v>
      </c>
      <c r="I25" s="29">
        <f t="shared" si="4"/>
        <v>1</v>
      </c>
      <c r="J25" s="29"/>
      <c r="K25" s="29">
        <f t="shared" si="1"/>
        <v>0</v>
      </c>
    </row>
    <row r="26" spans="1:18">
      <c r="A26" s="90" t="s">
        <v>21</v>
      </c>
      <c r="B26" s="91" t="s">
        <v>291</v>
      </c>
      <c r="C26" s="92"/>
      <c r="D26" s="13">
        <v>44531</v>
      </c>
      <c r="E26" s="98" t="str">
        <f>IF(AND(EOMONTH(DATE($A$12,MONTH("1-"&amp;A26&amp;"-"&amp;$A$12),1),0)&gt;=Generales!$B$4,DATE($A$12,MONTH("1-"&amp;A26&amp;"-"&amp;$A$12),1)&lt;=Generales!$C$4),"","FUERA DE RANGO")</f>
        <v>FUERA DE RANGO</v>
      </c>
      <c r="I26" s="129">
        <f t="shared" si="4"/>
        <v>1</v>
      </c>
      <c r="J26" s="129"/>
      <c r="K26" s="129">
        <f t="shared" si="1"/>
        <v>0</v>
      </c>
    </row>
    <row r="27" spans="1:18">
      <c r="A27" s="97"/>
      <c r="B27" s="243"/>
      <c r="D27" s="28"/>
    </row>
    <row r="28" spans="1:18">
      <c r="A28" s="86">
        <v>2021</v>
      </c>
      <c r="B28" s="87"/>
      <c r="C28" s="88"/>
      <c r="D28" s="89"/>
      <c r="M28" t="s">
        <v>350</v>
      </c>
    </row>
    <row r="29" spans="1:18">
      <c r="A29" s="81" t="s">
        <v>0</v>
      </c>
      <c r="B29" s="82" t="s">
        <v>1</v>
      </c>
      <c r="C29" s="83" t="s">
        <v>2</v>
      </c>
      <c r="D29" s="84" t="s">
        <v>3</v>
      </c>
      <c r="F29" s="29">
        <f>VLOOKUP(G30,'Resoluciones de Tarifas'!E25:G42,3,TRUE)</f>
        <v>5900</v>
      </c>
      <c r="G29" s="29">
        <f>F29/2</f>
        <v>2950</v>
      </c>
      <c r="I29" s="128"/>
      <c r="J29" s="128"/>
      <c r="K29" s="128">
        <f t="shared" si="1"/>
        <v>1</v>
      </c>
      <c r="M29" s="29" t="s">
        <v>294</v>
      </c>
      <c r="N29" s="29">
        <v>2021</v>
      </c>
    </row>
    <row r="30" spans="1:18" ht="30">
      <c r="A30" s="90" t="s">
        <v>22</v>
      </c>
      <c r="B30" s="91"/>
      <c r="C30" s="92"/>
      <c r="D30" s="93"/>
      <c r="E30" s="98" t="str">
        <f>IF(AND(EOMONTH(DATE($A$28,MONTH("1-"&amp;A30&amp;"-"&amp;$A$28),1),0)&gt;=Generales!$B$4,DATE($A$28,MONTH("1-"&amp;A30&amp;"-"&amp;$A$28),1)&lt;=Generales!$C$4),"","FUERA DE RANGO")</f>
        <v>FUERA DE RANGO</v>
      </c>
      <c r="F30" s="132" t="s">
        <v>339</v>
      </c>
      <c r="G30" s="29">
        <v>3000</v>
      </c>
      <c r="I30" s="29">
        <v>1</v>
      </c>
      <c r="J30" s="29"/>
      <c r="K30" s="29">
        <f t="shared" si="1"/>
        <v>0</v>
      </c>
      <c r="M30" s="76">
        <f>HLOOKUP($N$29,'Resoluciones de Tarifas'!$K$3:$P$10,2,FALSE)</f>
        <v>13600</v>
      </c>
      <c r="N30" s="29"/>
      <c r="O30" s="71">
        <f t="shared" ref="O30:O36" si="5">M30*N30</f>
        <v>0</v>
      </c>
      <c r="P30" s="71">
        <f t="shared" ref="P30:P36" si="6">O30/2</f>
        <v>0</v>
      </c>
    </row>
    <row r="31" spans="1:18">
      <c r="A31" s="90" t="s">
        <v>23</v>
      </c>
      <c r="B31" s="91"/>
      <c r="C31" s="92"/>
      <c r="D31" s="99"/>
      <c r="E31" s="98" t="str">
        <f>IF(AND(EOMONTH(DATE($A$28,MONTH("1-"&amp;A31&amp;"-"&amp;$A$28),1),0)&gt;=Generales!$B$4,DATE($A$28,MONTH("1-"&amp;A31&amp;"-"&amp;$A$28),1)&lt;=Generales!$C$4),"","FUERA DE RANGO")</f>
        <v>FUERA DE RANGO</v>
      </c>
      <c r="F31" s="29" t="s">
        <v>341</v>
      </c>
      <c r="G31" s="29">
        <f>K26</f>
        <v>0</v>
      </c>
      <c r="I31" s="29">
        <f>J30+1</f>
        <v>1</v>
      </c>
      <c r="J31" s="29"/>
      <c r="K31" s="29">
        <f t="shared" si="1"/>
        <v>0</v>
      </c>
      <c r="M31" s="76">
        <f>HLOOKUP($N$29,'Resoluciones de Tarifas'!$K$3:$P$10,3,FALSE)</f>
        <v>20400</v>
      </c>
      <c r="N31" s="29"/>
      <c r="O31" s="71">
        <f t="shared" si="5"/>
        <v>0</v>
      </c>
      <c r="P31" s="71">
        <f t="shared" si="6"/>
        <v>0</v>
      </c>
      <c r="Q31" s="72"/>
    </row>
    <row r="32" spans="1:18">
      <c r="A32" s="90" t="s">
        <v>24</v>
      </c>
      <c r="B32" s="91"/>
      <c r="C32" s="92"/>
      <c r="D32" s="99"/>
      <c r="E32" s="98" t="str">
        <f>IF(AND(EOMONTH(DATE($A$28,MONTH("1-"&amp;A32&amp;"-"&amp;$A$28),1),0)&gt;=Generales!$B$4,DATE($A$28,MONTH("1-"&amp;A32&amp;"-"&amp;$A$28),1)&lt;=Generales!$C$4),"","FUERA DE RANGO")</f>
        <v>FUERA DE RANGO</v>
      </c>
      <c r="F32" s="74" t="s">
        <v>340</v>
      </c>
      <c r="G32" s="74">
        <v>0</v>
      </c>
      <c r="I32" s="29">
        <f t="shared" ref="I32:I41" si="7">J31+1</f>
        <v>1</v>
      </c>
      <c r="J32" s="29">
        <v>984</v>
      </c>
      <c r="K32" s="29">
        <f t="shared" si="1"/>
        <v>984</v>
      </c>
      <c r="M32" s="76">
        <f>HLOOKUP($N$29,'Resoluciones de Tarifas'!$K$3:$P$10,4,FALSE)</f>
        <v>30900</v>
      </c>
      <c r="N32" s="29"/>
      <c r="O32" s="71">
        <f t="shared" si="5"/>
        <v>0</v>
      </c>
      <c r="P32" s="71">
        <f t="shared" si="6"/>
        <v>0</v>
      </c>
    </row>
    <row r="33" spans="1:18">
      <c r="A33" s="90" t="s">
        <v>8</v>
      </c>
      <c r="B33" s="91"/>
      <c r="C33" s="92"/>
      <c r="D33" s="99"/>
      <c r="E33" s="98" t="str">
        <f>IF(AND(EOMONTH(DATE($A$28,MONTH("1-"&amp;A33&amp;"-"&amp;$A$28),1),0)&gt;=Generales!$B$4,DATE($A$28,MONTH("1-"&amp;A33&amp;"-"&amp;$A$28),1)&lt;=Generales!$C$4),"","FUERA DE RANGO")</f>
        <v>FUERA DE RANGO</v>
      </c>
      <c r="F33" s="74" t="s">
        <v>342</v>
      </c>
      <c r="G33" s="74">
        <v>0</v>
      </c>
      <c r="I33" s="29">
        <f t="shared" si="7"/>
        <v>985</v>
      </c>
      <c r="J33" s="29">
        <v>1336</v>
      </c>
      <c r="K33" s="29">
        <f t="shared" si="1"/>
        <v>352</v>
      </c>
      <c r="L33">
        <v>48</v>
      </c>
      <c r="M33" s="76">
        <f>HLOOKUP($N$29,'Resoluciones de Tarifas'!$K$3:$P$10,5,FALSE)</f>
        <v>37200</v>
      </c>
      <c r="N33" s="29"/>
      <c r="O33" s="71">
        <f t="shared" si="5"/>
        <v>0</v>
      </c>
      <c r="P33" s="71">
        <f t="shared" si="6"/>
        <v>0</v>
      </c>
    </row>
    <row r="34" spans="1:18">
      <c r="A34" s="90" t="s">
        <v>14</v>
      </c>
      <c r="B34" s="91"/>
      <c r="C34" s="92"/>
      <c r="D34" s="99"/>
      <c r="E34" s="98" t="str">
        <f>IF(AND(EOMONTH(DATE($A$28,MONTH("1-"&amp;A34&amp;"-"&amp;$A$28),1),0)&gt;=Generales!$B$4,DATE($A$28,MONTH("1-"&amp;A34&amp;"-"&amp;$A$28),1)&lt;=Generales!$C$4),"","FUERA DE RANGO")</f>
        <v>FUERA DE RANGO</v>
      </c>
      <c r="I34" s="29">
        <f>J33+1</f>
        <v>1337</v>
      </c>
      <c r="J34" s="29">
        <v>1679</v>
      </c>
      <c r="K34" s="29">
        <f t="shared" si="1"/>
        <v>343</v>
      </c>
      <c r="L34">
        <v>40</v>
      </c>
      <c r="M34" s="76">
        <f>HLOOKUP($N$29,'Resoluciones de Tarifas'!$K$3:$P$10,6,FALSE)</f>
        <v>50900</v>
      </c>
      <c r="N34" s="29"/>
      <c r="O34" s="71">
        <f t="shared" si="5"/>
        <v>0</v>
      </c>
      <c r="P34" s="71">
        <f t="shared" si="6"/>
        <v>0</v>
      </c>
    </row>
    <row r="35" spans="1:18">
      <c r="A35" s="90" t="s">
        <v>15</v>
      </c>
      <c r="B35" s="91"/>
      <c r="C35" s="92"/>
      <c r="D35" s="99"/>
      <c r="E35" s="98" t="str">
        <f>IF(AND(EOMONTH(DATE($A$28,MONTH("1-"&amp;A35&amp;"-"&amp;$A$28),1),0)&gt;=Generales!$B$4,DATE($A$28,MONTH("1-"&amp;A35&amp;"-"&amp;$A$28),1)&lt;=Generales!$C$4),"","FUERA DE RANGO")</f>
        <v>FUERA DE RANGO</v>
      </c>
      <c r="I35" s="29">
        <f t="shared" si="7"/>
        <v>1680</v>
      </c>
      <c r="J35" s="29">
        <v>2041</v>
      </c>
      <c r="K35" s="29">
        <f t="shared" si="1"/>
        <v>362</v>
      </c>
      <c r="L35">
        <v>23</v>
      </c>
      <c r="M35" s="76">
        <f>HLOOKUP($N$29,'Resoluciones de Tarifas'!$K$3:$P$10,7,FALSE)</f>
        <v>60000</v>
      </c>
      <c r="N35" s="29"/>
      <c r="O35" s="71">
        <f t="shared" si="5"/>
        <v>0</v>
      </c>
      <c r="P35" s="71">
        <f t="shared" si="6"/>
        <v>0</v>
      </c>
    </row>
    <row r="36" spans="1:18">
      <c r="A36" s="90" t="s">
        <v>16</v>
      </c>
      <c r="B36" s="91"/>
      <c r="C36" s="92"/>
      <c r="D36" s="99"/>
      <c r="E36" s="98" t="str">
        <f>IF(AND(EOMONTH(DATE($A$28,MONTH("1-"&amp;A36&amp;"-"&amp;$A$28),1),0)&gt;=Generales!$B$4,DATE($A$28,MONTH("1-"&amp;A36&amp;"-"&amp;$A$28),1)&lt;=Generales!$C$4),"","FUERA DE RANGO")</f>
        <v>FUERA DE RANGO</v>
      </c>
      <c r="I36" s="29">
        <f t="shared" si="7"/>
        <v>2042</v>
      </c>
      <c r="J36" s="29">
        <v>2391</v>
      </c>
      <c r="K36" s="29">
        <f t="shared" si="1"/>
        <v>350</v>
      </c>
      <c r="L36">
        <v>27</v>
      </c>
      <c r="M36" s="76">
        <f>HLOOKUP($N$29,'Resoluciones de Tarifas'!$K$3:$P$10,8,FALSE)</f>
        <v>68100</v>
      </c>
      <c r="N36" s="29"/>
      <c r="O36" s="71">
        <f t="shared" si="5"/>
        <v>0</v>
      </c>
      <c r="P36" s="71">
        <f t="shared" si="6"/>
        <v>0</v>
      </c>
      <c r="Q36" s="100"/>
    </row>
    <row r="37" spans="1:18">
      <c r="A37" s="90" t="s">
        <v>17</v>
      </c>
      <c r="B37" s="91"/>
      <c r="C37" s="92"/>
      <c r="D37" s="99"/>
      <c r="E37" s="98" t="str">
        <f>IF(AND(EOMONTH(DATE($A$28,MONTH("1-"&amp;A37&amp;"-"&amp;$A$28),1),0)&gt;=Generales!$B$4,DATE($A$28,MONTH("1-"&amp;A37&amp;"-"&amp;$A$28),1)&lt;=Generales!$C$4),"","FUERA DE RANGO")</f>
        <v>FUERA DE RANGO</v>
      </c>
      <c r="I37" s="29">
        <f t="shared" si="7"/>
        <v>2392</v>
      </c>
      <c r="J37" s="29">
        <v>2766</v>
      </c>
      <c r="K37" s="29">
        <f t="shared" si="1"/>
        <v>375</v>
      </c>
      <c r="L37">
        <v>18</v>
      </c>
      <c r="N37" s="29">
        <f>SUM(N30:N36)</f>
        <v>0</v>
      </c>
      <c r="O37" s="71">
        <f>SUM(O30:O36)</f>
        <v>0</v>
      </c>
      <c r="P37" s="71">
        <f>SUM(P30:P36)</f>
        <v>0</v>
      </c>
      <c r="Q37" s="72"/>
      <c r="R37" s="100"/>
    </row>
    <row r="38" spans="1:18">
      <c r="A38" s="90" t="s">
        <v>18</v>
      </c>
      <c r="B38" s="91"/>
      <c r="C38" s="92"/>
      <c r="D38" s="99"/>
      <c r="E38" s="98" t="str">
        <f>IF(AND(EOMONTH(DATE($A$28,MONTH("1-"&amp;A38&amp;"-"&amp;$A$28),1),0)&gt;=Generales!$B$4,DATE($A$28,MONTH("1-"&amp;A38&amp;"-"&amp;$A$28),1)&lt;=Generales!$C$4),"","FUERA DE RANGO")</f>
        <v>FUERA DE RANGO</v>
      </c>
      <c r="I38" s="29">
        <f t="shared" si="7"/>
        <v>2767</v>
      </c>
      <c r="J38" s="29">
        <v>3168</v>
      </c>
      <c r="K38" s="29">
        <f t="shared" si="1"/>
        <v>402</v>
      </c>
      <c r="L38">
        <v>5</v>
      </c>
      <c r="P38" s="100"/>
    </row>
    <row r="39" spans="1:18">
      <c r="A39" s="90" t="s">
        <v>19</v>
      </c>
      <c r="B39" s="91"/>
      <c r="C39" s="92"/>
      <c r="D39" s="99"/>
      <c r="E39" s="98" t="str">
        <f>IF(AND(EOMONTH(DATE($A$28,MONTH("1-"&amp;A39&amp;"-"&amp;$A$28),1),0)&gt;=Generales!$B$4,DATE($A$28,MONTH("1-"&amp;A39&amp;"-"&amp;$A$28),1)&lt;=Generales!$C$4),"","FUERA DE RANGO")</f>
        <v>FUERA DE RANGO</v>
      </c>
      <c r="I39" s="29">
        <f t="shared" si="7"/>
        <v>3169</v>
      </c>
      <c r="J39" s="29">
        <v>3557</v>
      </c>
      <c r="K39" s="29">
        <f t="shared" si="1"/>
        <v>389</v>
      </c>
      <c r="L39">
        <v>13</v>
      </c>
    </row>
    <row r="40" spans="1:18">
      <c r="A40" s="90" t="s">
        <v>20</v>
      </c>
      <c r="B40" s="91"/>
      <c r="C40" s="92"/>
      <c r="D40" s="99"/>
      <c r="E40" s="98" t="str">
        <f>IF(AND(EOMONTH(DATE($A$28,MONTH("1-"&amp;A40&amp;"-"&amp;$A$28),1),0)&gt;=Generales!$B$4,DATE($A$28,MONTH("1-"&amp;A40&amp;"-"&amp;$A$28),1)&lt;=Generales!$C$4),"","FUERA DE RANGO")</f>
        <v>FUERA DE RANGO</v>
      </c>
      <c r="I40" s="29">
        <f t="shared" si="7"/>
        <v>3558</v>
      </c>
      <c r="J40" s="29">
        <v>3987</v>
      </c>
      <c r="K40" s="29">
        <f t="shared" si="1"/>
        <v>430</v>
      </c>
      <c r="L40">
        <v>31</v>
      </c>
    </row>
    <row r="41" spans="1:18">
      <c r="A41" s="90" t="s">
        <v>21</v>
      </c>
      <c r="B41" s="91"/>
      <c r="C41" s="92"/>
      <c r="D41" s="99"/>
      <c r="E41" s="98" t="str">
        <f>IF(AND(EOMONTH(DATE($A$28,MONTH("1-"&amp;A41&amp;"-"&amp;$A$28),1),0)&gt;=Generales!$B$4,DATE($A$28,MONTH("1-"&amp;A41&amp;"-"&amp;$A$28),1)&lt;=Generales!$C$4),"","FUERA DE RANGO")</f>
        <v>FUERA DE RANGO</v>
      </c>
      <c r="I41" s="29">
        <f t="shared" si="7"/>
        <v>3988</v>
      </c>
      <c r="J41" s="29"/>
      <c r="K41" s="29">
        <f t="shared" si="1"/>
        <v>-3987</v>
      </c>
      <c r="L41">
        <v>19</v>
      </c>
    </row>
    <row r="42" spans="1:18">
      <c r="A42" s="97"/>
      <c r="B42" s="243"/>
      <c r="D42" s="28"/>
      <c r="I42" s="29"/>
      <c r="J42" s="29"/>
      <c r="K42" s="29">
        <f t="shared" si="1"/>
        <v>1</v>
      </c>
      <c r="L42">
        <f>SUM(L33:L41)</f>
        <v>224</v>
      </c>
      <c r="M42" t="s">
        <v>350</v>
      </c>
    </row>
    <row r="43" spans="1:18">
      <c r="A43" s="86">
        <v>2022</v>
      </c>
      <c r="B43" s="87"/>
      <c r="C43" s="88"/>
      <c r="D43" s="89"/>
      <c r="I43" s="29"/>
      <c r="J43" s="29"/>
      <c r="K43" s="29">
        <f t="shared" si="1"/>
        <v>1</v>
      </c>
      <c r="M43" s="29" t="s">
        <v>294</v>
      </c>
      <c r="N43" s="29">
        <v>2022</v>
      </c>
    </row>
    <row r="44" spans="1:18">
      <c r="A44" s="81" t="s">
        <v>0</v>
      </c>
      <c r="B44" s="82" t="s">
        <v>1</v>
      </c>
      <c r="C44" s="83" t="s">
        <v>2</v>
      </c>
      <c r="D44" s="84" t="s">
        <v>3</v>
      </c>
      <c r="F44" s="29" t="e">
        <f>VLOOKUP(G45,'Resoluciones de Tarifas'!E46:G63,3,TRUE)</f>
        <v>#N/A</v>
      </c>
      <c r="G44" s="29" t="e">
        <f>F44/2</f>
        <v>#N/A</v>
      </c>
      <c r="I44" s="29"/>
      <c r="J44" s="29"/>
      <c r="K44" s="29">
        <f t="shared" si="1"/>
        <v>1</v>
      </c>
      <c r="M44" s="76">
        <f>HLOOKUP($N$43,'Resoluciones de Tarifas'!$K$3:$P$10,2,FALSE)</f>
        <v>14300</v>
      </c>
      <c r="N44" s="29">
        <v>13</v>
      </c>
      <c r="O44" s="71">
        <f t="shared" ref="O44:O50" si="8">M44*N44</f>
        <v>185900</v>
      </c>
      <c r="P44" s="71">
        <f t="shared" ref="P44:P50" si="9">O44/2</f>
        <v>92950</v>
      </c>
    </row>
    <row r="45" spans="1:18" ht="30">
      <c r="A45" s="90" t="s">
        <v>22</v>
      </c>
      <c r="B45" s="91"/>
      <c r="C45" s="92"/>
      <c r="D45" s="99"/>
      <c r="E45" t="str">
        <f>IF(AND(EOMONTH(DATE($A$43,MONTH("1-"&amp;A45&amp;"-"&amp;$A$43),1),0)&gt;=Generales!$B$4,DATE($A$43,MONTH("1-"&amp;A45&amp;"-"&amp;$A$43),1)&lt;=Generales!$C$4),"","FUERA DE RANGO")</f>
        <v>FUERA DE RANGO</v>
      </c>
      <c r="F45" s="132" t="s">
        <v>339</v>
      </c>
      <c r="G45" s="29">
        <f>G46-G47-G48</f>
        <v>-224</v>
      </c>
      <c r="I45" s="29">
        <v>1</v>
      </c>
      <c r="J45" s="29"/>
      <c r="K45" s="29">
        <f t="shared" si="1"/>
        <v>0</v>
      </c>
      <c r="L45">
        <v>13</v>
      </c>
      <c r="M45" s="76">
        <f>HLOOKUP($N$43,'Resoluciones de Tarifas'!$K$3:$P$10,3,FALSE)</f>
        <v>21400</v>
      </c>
      <c r="N45" s="29">
        <v>0</v>
      </c>
      <c r="O45" s="71">
        <f t="shared" si="8"/>
        <v>0</v>
      </c>
      <c r="P45" s="71">
        <f t="shared" si="9"/>
        <v>0</v>
      </c>
    </row>
    <row r="46" spans="1:18">
      <c r="A46" s="90" t="s">
        <v>23</v>
      </c>
      <c r="B46" s="91"/>
      <c r="C46" s="92"/>
      <c r="D46" s="99"/>
      <c r="E46" t="str">
        <f>IF(AND(EOMONTH(DATE($A$43,MONTH("1-"&amp;A46&amp;"-"&amp;$A$43),1),0)&gt;=Generales!$B$4,DATE($A$43,MONTH("1-"&amp;A46&amp;"-"&amp;$A$43),1)&lt;=Generales!$C$4),"","FUERA DE RANGO")</f>
        <v>FUERA DE RANGO</v>
      </c>
      <c r="F46" s="29" t="s">
        <v>341</v>
      </c>
      <c r="G46" s="29">
        <f>J41</f>
        <v>0</v>
      </c>
      <c r="I46" s="29">
        <f>J45+1</f>
        <v>1</v>
      </c>
      <c r="J46" s="29"/>
      <c r="K46" s="29">
        <f>(J46-I46)+1</f>
        <v>0</v>
      </c>
      <c r="L46">
        <v>51</v>
      </c>
      <c r="M46" s="76">
        <f>HLOOKUP($N$43,'Resoluciones de Tarifas'!$K$3:$P$10,4,FALSE)</f>
        <v>32300</v>
      </c>
      <c r="N46" s="29">
        <v>0</v>
      </c>
      <c r="O46" s="71">
        <f t="shared" si="8"/>
        <v>0</v>
      </c>
      <c r="P46" s="71">
        <f t="shared" si="9"/>
        <v>0</v>
      </c>
    </row>
    <row r="47" spans="1:18">
      <c r="A47" s="90" t="s">
        <v>24</v>
      </c>
      <c r="B47" s="91"/>
      <c r="C47" s="92"/>
      <c r="D47" s="99"/>
      <c r="E47" t="str">
        <f>IF(AND(EOMONTH(DATE($A$43,MONTH("1-"&amp;A47&amp;"-"&amp;$A$43),1),0)&gt;=Generales!$B$4,DATE($A$43,MONTH("1-"&amp;A47&amp;"-"&amp;$A$43),1)&lt;=Generales!$C$4),"","FUERA DE RANGO")</f>
        <v>FUERA DE RANGO</v>
      </c>
      <c r="F47" s="74" t="s">
        <v>340</v>
      </c>
      <c r="G47" s="74">
        <v>224</v>
      </c>
      <c r="I47" s="29">
        <f t="shared" ref="I47:I56" si="10">J46+1</f>
        <v>1</v>
      </c>
      <c r="J47" s="29"/>
      <c r="K47" s="29">
        <f t="shared" si="1"/>
        <v>0</v>
      </c>
      <c r="L47">
        <v>37</v>
      </c>
      <c r="M47" s="76">
        <f>HLOOKUP($N$43,'Resoluciones de Tarifas'!$K$3:$P$10,5,FALSE)</f>
        <v>39000</v>
      </c>
      <c r="N47" s="29">
        <v>0</v>
      </c>
      <c r="O47" s="71">
        <f t="shared" si="8"/>
        <v>0</v>
      </c>
      <c r="P47" s="71">
        <f t="shared" si="9"/>
        <v>0</v>
      </c>
    </row>
    <row r="48" spans="1:18">
      <c r="A48" s="90" t="s">
        <v>25</v>
      </c>
      <c r="B48" s="91"/>
      <c r="C48" s="92"/>
      <c r="D48" s="99"/>
      <c r="E48" t="str">
        <f>IF(AND(EOMONTH(DATE($A$43,MONTH("1-"&amp;A48&amp;"-"&amp;$A$43),1),0)&gt;=Generales!$B$4,DATE($A$43,MONTH("1-"&amp;A48&amp;"-"&amp;$A$43),1)&lt;=Generales!$C$4),"","FUERA DE RANGO")</f>
        <v>FUERA DE RANGO</v>
      </c>
      <c r="F48" s="74" t="s">
        <v>342</v>
      </c>
      <c r="G48" s="74">
        <v>0</v>
      </c>
      <c r="I48" s="29">
        <f t="shared" si="10"/>
        <v>1</v>
      </c>
      <c r="J48" s="29"/>
      <c r="K48" s="29">
        <f t="shared" si="1"/>
        <v>0</v>
      </c>
      <c r="L48">
        <v>32</v>
      </c>
      <c r="M48" s="76">
        <f>HLOOKUP($N$43,'Resoluciones de Tarifas'!$K$3:$P$10,6,FALSE)</f>
        <v>53300</v>
      </c>
      <c r="N48" s="29">
        <v>0</v>
      </c>
      <c r="O48" s="71">
        <f t="shared" si="8"/>
        <v>0</v>
      </c>
      <c r="P48" s="71">
        <f t="shared" si="9"/>
        <v>0</v>
      </c>
    </row>
    <row r="49" spans="1:18">
      <c r="A49" s="90" t="s">
        <v>14</v>
      </c>
      <c r="B49" s="91"/>
      <c r="C49" s="92"/>
      <c r="D49" s="102"/>
      <c r="E49" t="str">
        <f>IF(AND(EOMONTH(DATE($A$43,MONTH("1-"&amp;A49&amp;"-"&amp;$A$43),1),0)&gt;=Generales!$B$4,DATE($A$43,MONTH("1-"&amp;A49&amp;"-"&amp;$A$43),1)&lt;=Generales!$C$4),"","FUERA DE RANGO")</f>
        <v>FUERA DE RANGO</v>
      </c>
      <c r="I49" s="29">
        <f t="shared" si="10"/>
        <v>1</v>
      </c>
      <c r="J49" s="29"/>
      <c r="K49" s="29">
        <f t="shared" si="1"/>
        <v>0</v>
      </c>
      <c r="L49">
        <v>14</v>
      </c>
      <c r="M49" s="76">
        <f>HLOOKUP($N$43,'Resoluciones de Tarifas'!$K$3:$P$10,7,FALSE)</f>
        <v>62800</v>
      </c>
      <c r="N49" s="29">
        <v>0</v>
      </c>
      <c r="O49" s="71">
        <f t="shared" si="8"/>
        <v>0</v>
      </c>
      <c r="P49" s="71">
        <f t="shared" si="9"/>
        <v>0</v>
      </c>
    </row>
    <row r="50" spans="1:18">
      <c r="A50" s="90" t="s">
        <v>15</v>
      </c>
      <c r="B50" s="91"/>
      <c r="C50" s="92"/>
      <c r="D50" s="99"/>
      <c r="E50" t="str">
        <f>IF(AND(EOMONTH(DATE($A$43,MONTH("1-"&amp;A50&amp;"-"&amp;$A$43),1),0)&gt;=Generales!$B$4,DATE($A$43,MONTH("1-"&amp;A50&amp;"-"&amp;$A$43),1)&lt;=Generales!$C$4),"","FUERA DE RANGO")</f>
        <v>FUERA DE RANGO</v>
      </c>
      <c r="I50" s="29">
        <f t="shared" si="10"/>
        <v>1</v>
      </c>
      <c r="J50" s="29"/>
      <c r="K50" s="29">
        <f t="shared" si="1"/>
        <v>0</v>
      </c>
      <c r="L50">
        <v>20</v>
      </c>
      <c r="M50" s="76">
        <f>HLOOKUP($N$43,'Resoluciones de Tarifas'!$K$3:$P$10,8,FALSE)</f>
        <v>71300</v>
      </c>
      <c r="N50" s="29">
        <v>0</v>
      </c>
      <c r="O50" s="71">
        <f t="shared" si="8"/>
        <v>0</v>
      </c>
      <c r="P50" s="71">
        <f t="shared" si="9"/>
        <v>0</v>
      </c>
    </row>
    <row r="51" spans="1:18">
      <c r="A51" s="90" t="s">
        <v>16</v>
      </c>
      <c r="B51" s="91"/>
      <c r="C51" s="92"/>
      <c r="D51" s="99"/>
      <c r="E51" t="str">
        <f>IF(AND(EOMONTH(DATE($A$43,MONTH("1-"&amp;A51&amp;"-"&amp;$A$43),1),0)&gt;=Generales!$B$4,DATE($A$43,MONTH("1-"&amp;A51&amp;"-"&amp;$A$43),1)&lt;=Generales!$C$4),"","FUERA DE RANGO")</f>
        <v>FUERA DE RANGO</v>
      </c>
      <c r="I51" s="29">
        <f t="shared" si="10"/>
        <v>1</v>
      </c>
      <c r="J51" s="29"/>
      <c r="K51" s="29">
        <f t="shared" si="1"/>
        <v>0</v>
      </c>
      <c r="L51">
        <v>25</v>
      </c>
      <c r="N51" s="29">
        <f>SUM(N44:N50)</f>
        <v>13</v>
      </c>
      <c r="O51" s="71">
        <f>SUM(O44:O50)</f>
        <v>185900</v>
      </c>
      <c r="P51" s="71">
        <f>SUM(P44:P50)</f>
        <v>92950</v>
      </c>
      <c r="Q51" s="100"/>
      <c r="R51" s="100"/>
    </row>
    <row r="52" spans="1:18">
      <c r="A52" s="90" t="s">
        <v>17</v>
      </c>
      <c r="B52" s="91"/>
      <c r="C52" s="92"/>
      <c r="D52" s="93"/>
      <c r="E52" t="str">
        <f>IF(AND(EOMONTH(DATE($A$43,MONTH("1-"&amp;A52&amp;"-"&amp;$A$43),1),0)&gt;=Generales!$B$4,DATE($A$43,MONTH("1-"&amp;A52&amp;"-"&amp;$A$43),1)&lt;=Generales!$C$4),"","FUERA DE RANGO")</f>
        <v>FUERA DE RANGO</v>
      </c>
      <c r="I52" s="29">
        <f t="shared" si="10"/>
        <v>1</v>
      </c>
      <c r="J52" s="29"/>
      <c r="K52" s="29">
        <f t="shared" si="1"/>
        <v>0</v>
      </c>
      <c r="L52">
        <v>22</v>
      </c>
      <c r="O52" s="100"/>
    </row>
    <row r="53" spans="1:18">
      <c r="A53" s="90" t="s">
        <v>45</v>
      </c>
      <c r="B53" s="91"/>
      <c r="C53" s="235"/>
      <c r="D53" s="99"/>
      <c r="E53" t="str">
        <f>IF(AND(EOMONTH(DATE($A$43,MONTH("1-"&amp;A53&amp;"-"&amp;$A$43),1),0)&gt;=Generales!$B$4,DATE($A$43,MONTH("1-"&amp;A53&amp;"-"&amp;$A$43),1)&lt;=Generales!$C$4),"","FUERA DE RANGO")</f>
        <v>FUERA DE RANGO</v>
      </c>
      <c r="I53" s="29">
        <f t="shared" si="10"/>
        <v>1</v>
      </c>
      <c r="J53" s="29"/>
      <c r="K53" s="29">
        <f t="shared" si="1"/>
        <v>0</v>
      </c>
      <c r="L53">
        <v>15</v>
      </c>
    </row>
    <row r="54" spans="1:18">
      <c r="A54" s="90" t="s">
        <v>19</v>
      </c>
      <c r="B54" s="91"/>
      <c r="C54" s="235"/>
      <c r="D54" s="66"/>
      <c r="E54" t="str">
        <f>IF(AND(EOMONTH(DATE($A$43,MONTH("1-"&amp;A54&amp;"-"&amp;$A$43),1),0)&gt;=Generales!$B$4,DATE($A$43,MONTH("1-"&amp;A54&amp;"-"&amp;$A$43),1)&lt;=Generales!$C$4),"","FUERA DE RANGO")</f>
        <v>FUERA DE RANGO</v>
      </c>
      <c r="I54" s="29">
        <f>J53+1</f>
        <v>1</v>
      </c>
      <c r="J54" s="29"/>
      <c r="K54" s="29">
        <f t="shared" si="1"/>
        <v>0</v>
      </c>
      <c r="L54">
        <v>10</v>
      </c>
    </row>
    <row r="55" spans="1:18">
      <c r="A55" s="90" t="s">
        <v>20</v>
      </c>
      <c r="B55" s="91"/>
      <c r="C55" s="235"/>
      <c r="D55" s="66"/>
      <c r="E55" t="str">
        <f>IF(AND(EOMONTH(DATE($A$43,MONTH("1-"&amp;A55&amp;"-"&amp;$A$43),1),0)&gt;=Generales!$B$4,DATE($A$43,MONTH("1-"&amp;A55&amp;"-"&amp;$A$43),1)&lt;=Generales!$C$4),"","FUERA DE RANGO")</f>
        <v>FUERA DE RANGO</v>
      </c>
      <c r="I55" s="29">
        <f t="shared" si="10"/>
        <v>1</v>
      </c>
      <c r="J55" s="29"/>
      <c r="K55" s="29">
        <f>((J55-I55)+1)</f>
        <v>0</v>
      </c>
      <c r="L55">
        <v>20</v>
      </c>
      <c r="M55" s="1"/>
      <c r="N55" s="1"/>
      <c r="O55" s="1"/>
    </row>
    <row r="56" spans="1:18">
      <c r="A56" s="90" t="s">
        <v>21</v>
      </c>
      <c r="B56" s="91"/>
      <c r="C56" s="234"/>
      <c r="D56" s="66"/>
      <c r="E56" t="str">
        <f>IF(AND(EOMONTH(DATE($A$43,MONTH("1-"&amp;A56&amp;"-"&amp;$A$43),1),0)&gt;=Generales!$B$4,DATE($A$43,MONTH("1-"&amp;A56&amp;"-"&amp;$A$43),1)&lt;=Generales!$C$4),"","FUERA DE RANGO")</f>
        <v>FUERA DE RANGO</v>
      </c>
      <c r="I56" s="29">
        <f t="shared" si="10"/>
        <v>1</v>
      </c>
      <c r="J56" s="29"/>
      <c r="K56" s="29">
        <f t="shared" si="1"/>
        <v>0</v>
      </c>
      <c r="L56">
        <v>13</v>
      </c>
    </row>
    <row r="57" spans="1:18">
      <c r="A57" s="97"/>
      <c r="B57" s="243"/>
      <c r="D57" s="28"/>
      <c r="L57">
        <f>SUM(L45:L56)</f>
        <v>272</v>
      </c>
    </row>
    <row r="58" spans="1:18">
      <c r="A58" s="86">
        <v>2023</v>
      </c>
      <c r="B58" s="87"/>
      <c r="C58" s="88"/>
      <c r="D58" s="89"/>
      <c r="M58" t="s">
        <v>350</v>
      </c>
    </row>
    <row r="59" spans="1:18">
      <c r="A59" s="81" t="s">
        <v>0</v>
      </c>
      <c r="B59" s="82" t="s">
        <v>1</v>
      </c>
      <c r="C59" s="83" t="s">
        <v>2</v>
      </c>
      <c r="D59" s="84" t="s">
        <v>3</v>
      </c>
      <c r="F59" s="29" t="e">
        <f>VLOOKUP(G60,'Resoluciones de Tarifas'!E67:G84,3,TRUE)</f>
        <v>#N/A</v>
      </c>
      <c r="G59" s="29" t="e">
        <f>F59/2</f>
        <v>#N/A</v>
      </c>
      <c r="M59" s="29" t="s">
        <v>294</v>
      </c>
      <c r="N59" s="29">
        <v>2023</v>
      </c>
    </row>
    <row r="60" spans="1:18" ht="30">
      <c r="A60" s="90" t="s">
        <v>22</v>
      </c>
      <c r="B60" s="91"/>
      <c r="C60" s="235"/>
      <c r="D60" s="66"/>
      <c r="E60" s="100"/>
      <c r="F60" s="132" t="s">
        <v>339</v>
      </c>
      <c r="G60" s="29">
        <f>G61-G62-G63</f>
        <v>-280</v>
      </c>
      <c r="I60" s="29">
        <v>1</v>
      </c>
      <c r="J60" s="29"/>
      <c r="K60" s="29">
        <f t="shared" si="1"/>
        <v>0</v>
      </c>
      <c r="L60">
        <v>1</v>
      </c>
      <c r="M60" s="76">
        <f>HLOOKUP($N$59,'Resoluciones de Tarifas'!$K$3:$P$10,2,FALSE)</f>
        <v>15900</v>
      </c>
      <c r="N60" s="29"/>
      <c r="O60" s="71">
        <f t="shared" ref="O60:O66" si="11">M60*N60</f>
        <v>0</v>
      </c>
      <c r="P60" s="71">
        <f t="shared" ref="P60:P66" si="12">O60/2</f>
        <v>0</v>
      </c>
    </row>
    <row r="61" spans="1:18">
      <c r="A61" s="90" t="s">
        <v>23</v>
      </c>
      <c r="B61" s="91"/>
      <c r="C61" s="235"/>
      <c r="D61" s="66"/>
      <c r="E61" s="100" t="str">
        <f>IF(AND(EOMONTH(DATE($A$58,MONTH("1-"&amp;A61&amp;"-"&amp;$A$58),1),0)&gt;=Generales!$B$4,DATE($A$58,MONTH("1-"&amp;A61&amp;"-"&amp;$A$58),1)&lt;=Generales!$C$4),"","FUERA DE RANGO")</f>
        <v>FUERA DE RANGO</v>
      </c>
      <c r="F61" s="29" t="s">
        <v>341</v>
      </c>
      <c r="G61" s="29">
        <f>J56</f>
        <v>0</v>
      </c>
      <c r="I61" s="29">
        <f>J60+1</f>
        <v>1</v>
      </c>
      <c r="J61" s="29"/>
      <c r="K61" s="29">
        <f t="shared" si="1"/>
        <v>0</v>
      </c>
      <c r="L61">
        <v>7</v>
      </c>
      <c r="M61" s="76">
        <f>HLOOKUP($N$59,'Resoluciones de Tarifas'!$K$3:$P$10,3,FALSE)</f>
        <v>23900</v>
      </c>
      <c r="N61" s="29"/>
      <c r="O61" s="71">
        <f t="shared" si="11"/>
        <v>0</v>
      </c>
      <c r="P61" s="71">
        <f t="shared" si="12"/>
        <v>0</v>
      </c>
    </row>
    <row r="62" spans="1:18">
      <c r="A62" s="90" t="s">
        <v>24</v>
      </c>
      <c r="B62" s="91"/>
      <c r="C62" s="235"/>
      <c r="D62" s="66"/>
      <c r="E62" s="100" t="str">
        <f>IF(AND(EOMONTH(DATE($A$58,MONTH("1-"&amp;A62&amp;"-"&amp;$A$58),1),0)&gt;=Generales!$B$4,DATE($A$58,MONTH("1-"&amp;A62&amp;"-"&amp;$A$58),1)&lt;=Generales!$C$4),"","FUERA DE RANGO")</f>
        <v>FUERA DE RANGO</v>
      </c>
      <c r="F62" s="74" t="s">
        <v>340</v>
      </c>
      <c r="G62" s="74">
        <v>272</v>
      </c>
      <c r="I62" s="29">
        <f t="shared" ref="I62:I71" si="13">J61+1</f>
        <v>1</v>
      </c>
      <c r="J62" s="29"/>
      <c r="K62" s="29">
        <f t="shared" si="1"/>
        <v>0</v>
      </c>
      <c r="L62">
        <v>13</v>
      </c>
      <c r="M62" s="76">
        <f>HLOOKUP($N$59,'Resoluciones de Tarifas'!$K$3:$P$10,4,FALSE)</f>
        <v>36100</v>
      </c>
      <c r="N62" s="29"/>
      <c r="O62" s="71">
        <f t="shared" si="11"/>
        <v>0</v>
      </c>
      <c r="P62" s="71">
        <f t="shared" si="12"/>
        <v>0</v>
      </c>
    </row>
    <row r="63" spans="1:18">
      <c r="A63" s="90" t="s">
        <v>25</v>
      </c>
      <c r="B63" s="91"/>
      <c r="C63" s="235"/>
      <c r="D63" s="66"/>
      <c r="E63" s="100" t="str">
        <f>IF(AND(EOMONTH(DATE($A$58,MONTH("1-"&amp;A63&amp;"-"&amp;$A$58),1),0)&gt;=Generales!$B$4,DATE($A$58,MONTH("1-"&amp;A63&amp;"-"&amp;$A$58),1)&lt;=Generales!$C$4),"","FUERA DE RANGO")</f>
        <v>FUERA DE RANGO</v>
      </c>
      <c r="F63" s="74" t="s">
        <v>342</v>
      </c>
      <c r="G63" s="74">
        <v>8</v>
      </c>
      <c r="I63" s="29">
        <f>J62+1</f>
        <v>1</v>
      </c>
      <c r="J63" s="29"/>
      <c r="K63" s="29">
        <f t="shared" si="1"/>
        <v>0</v>
      </c>
      <c r="L63">
        <v>1</v>
      </c>
      <c r="M63" s="76">
        <f>HLOOKUP($N$59,'Resoluciones de Tarifas'!$K$3:$P$10,5,FALSE)</f>
        <v>43500</v>
      </c>
      <c r="N63" s="29"/>
      <c r="O63" s="71">
        <f t="shared" si="11"/>
        <v>0</v>
      </c>
      <c r="P63" s="71">
        <f t="shared" si="12"/>
        <v>0</v>
      </c>
    </row>
    <row r="64" spans="1:18">
      <c r="A64" s="90" t="s">
        <v>14</v>
      </c>
      <c r="B64" s="91"/>
      <c r="C64" s="235"/>
      <c r="D64" s="66"/>
      <c r="E64" s="100" t="str">
        <f>IF(AND(EOMONTH(DATE($A$58,MONTH("1-"&amp;A64&amp;"-"&amp;$A$58),1),0)&gt;=Generales!$B$4,DATE($A$58,MONTH("1-"&amp;A64&amp;"-"&amp;$A$58),1)&lt;=Generales!$C$4),"","FUERA DE RANGO")</f>
        <v>FUERA DE RANGO</v>
      </c>
      <c r="I64" s="29">
        <f t="shared" si="13"/>
        <v>1</v>
      </c>
      <c r="J64" s="29"/>
      <c r="K64" s="29">
        <f>(J64-I64)+1</f>
        <v>0</v>
      </c>
      <c r="L64">
        <v>3</v>
      </c>
      <c r="M64" s="76">
        <f>HLOOKUP($N$59,'Resoluciones de Tarifas'!$K$3:$P$10,6,FALSE)</f>
        <v>59400</v>
      </c>
      <c r="N64" s="29"/>
      <c r="O64" s="71">
        <f t="shared" si="11"/>
        <v>0</v>
      </c>
      <c r="P64" s="71">
        <f t="shared" si="12"/>
        <v>0</v>
      </c>
    </row>
    <row r="65" spans="1:20">
      <c r="A65" s="90" t="s">
        <v>15</v>
      </c>
      <c r="B65" s="91"/>
      <c r="C65" s="235"/>
      <c r="D65" s="66"/>
      <c r="E65" s="100" t="str">
        <f>IF(AND(EOMONTH(DATE($A$58,MONTH("1-"&amp;A65&amp;"-"&amp;$A$58),1),0)&gt;=Generales!$B$4,DATE($A$58,MONTH("1-"&amp;A65&amp;"-"&amp;$A$58),1)&lt;=Generales!$C$4),"","FUERA DE RANGO")</f>
        <v>FUERA DE RANGO</v>
      </c>
      <c r="I65" s="29">
        <f t="shared" si="13"/>
        <v>1</v>
      </c>
      <c r="J65" s="29"/>
      <c r="K65" s="29">
        <f t="shared" si="1"/>
        <v>0</v>
      </c>
      <c r="L65">
        <v>12</v>
      </c>
      <c r="M65" s="76">
        <f>HLOOKUP($N$59,'Resoluciones de Tarifas'!$K$3:$P$10,7,FALSE)</f>
        <v>70000</v>
      </c>
      <c r="N65" s="29"/>
      <c r="O65" s="71">
        <f t="shared" si="11"/>
        <v>0</v>
      </c>
      <c r="P65" s="71">
        <f t="shared" si="12"/>
        <v>0</v>
      </c>
    </row>
    <row r="66" spans="1:20">
      <c r="A66" s="90" t="s">
        <v>16</v>
      </c>
      <c r="B66" s="91"/>
      <c r="C66" s="235"/>
      <c r="D66" s="66"/>
      <c r="E66" s="100" t="str">
        <f>IF(AND(EOMONTH(DATE($A$58,MONTH("1-"&amp;A66&amp;"-"&amp;$A$58),1),0)&gt;=Generales!$B$4,DATE($A$58,MONTH("1-"&amp;A66&amp;"-"&amp;$A$58),1)&lt;=Generales!$C$4),"","FUERA DE RANGO")</f>
        <v>FUERA DE RANGO</v>
      </c>
      <c r="I66" s="29">
        <f t="shared" si="13"/>
        <v>1</v>
      </c>
      <c r="J66" s="29"/>
      <c r="K66" s="29">
        <f t="shared" si="1"/>
        <v>0</v>
      </c>
      <c r="L66">
        <v>11</v>
      </c>
      <c r="M66" s="76">
        <f>HLOOKUP($N$59,'Resoluciones de Tarifas'!$K$3:$P$10,8,FALSE)</f>
        <v>79600</v>
      </c>
      <c r="N66" s="29"/>
      <c r="O66" s="71">
        <f t="shared" si="11"/>
        <v>0</v>
      </c>
      <c r="P66" s="71">
        <f t="shared" si="12"/>
        <v>0</v>
      </c>
    </row>
    <row r="67" spans="1:20">
      <c r="A67" s="90" t="s">
        <v>17</v>
      </c>
      <c r="B67" s="91"/>
      <c r="C67" s="235"/>
      <c r="D67" s="66"/>
      <c r="E67" s="100" t="str">
        <f>IF(AND(EOMONTH(DATE($A$58,MONTH("1-"&amp;A67&amp;"-"&amp;$A$58),1),0)&gt;=Generales!$B$4,DATE($A$58,MONTH("1-"&amp;A67&amp;"-"&amp;$A$58),1)&lt;=Generales!$C$4),"","FUERA DE RANGO")</f>
        <v>FUERA DE RANGO</v>
      </c>
      <c r="I67" s="29">
        <f t="shared" si="13"/>
        <v>1</v>
      </c>
      <c r="J67" s="29"/>
      <c r="K67" s="29">
        <f t="shared" si="1"/>
        <v>0</v>
      </c>
      <c r="L67">
        <v>12</v>
      </c>
      <c r="N67" s="29">
        <f>SUM(N60:N66)</f>
        <v>0</v>
      </c>
      <c r="O67" s="71">
        <f>SUM(O60:O66)</f>
        <v>0</v>
      </c>
      <c r="P67" s="71">
        <f>SUM(P60:P66)</f>
        <v>0</v>
      </c>
      <c r="Q67" s="72"/>
      <c r="R67" s="100"/>
    </row>
    <row r="68" spans="1:20">
      <c r="A68" s="90" t="s">
        <v>45</v>
      </c>
      <c r="B68" s="91"/>
      <c r="C68" s="235"/>
      <c r="D68" s="66"/>
      <c r="E68" s="100" t="str">
        <f>IF(AND(EOMONTH(DATE($A$58,MONTH("1-"&amp;A68&amp;"-"&amp;$A$58),1),0)&gt;=Generales!$B$4,DATE($A$58,MONTH("1-"&amp;A68&amp;"-"&amp;$A$58),1)&lt;=Generales!$C$4),"","FUERA DE RANGO")</f>
        <v>FUERA DE RANGO</v>
      </c>
      <c r="I68" s="29">
        <f t="shared" si="13"/>
        <v>1</v>
      </c>
      <c r="J68" s="29"/>
      <c r="K68" s="29">
        <f t="shared" si="1"/>
        <v>0</v>
      </c>
      <c r="L68">
        <v>7</v>
      </c>
    </row>
    <row r="69" spans="1:20">
      <c r="A69" s="90" t="s">
        <v>19</v>
      </c>
      <c r="B69" s="91"/>
      <c r="C69" s="235"/>
      <c r="D69" s="66"/>
      <c r="E69" s="100" t="str">
        <f>IF(AND(EOMONTH(DATE($A$58,MONTH("1-"&amp;A69&amp;"-"&amp;$A$58),1),0)&gt;=Generales!$B$4,DATE($A$58,MONTH("1-"&amp;A69&amp;"-"&amp;$A$58),1)&lt;=Generales!$C$4),"","FUERA DE RANGO")</f>
        <v>FUERA DE RANGO</v>
      </c>
      <c r="I69" s="29">
        <f t="shared" si="13"/>
        <v>1</v>
      </c>
      <c r="J69" s="29"/>
      <c r="K69" s="29">
        <f t="shared" ref="K69:K101" si="14">(J69-I69)+1</f>
        <v>0</v>
      </c>
      <c r="L69">
        <v>15</v>
      </c>
      <c r="R69" s="100"/>
    </row>
    <row r="70" spans="1:20">
      <c r="A70" s="90" t="s">
        <v>20</v>
      </c>
      <c r="B70" s="91"/>
      <c r="C70" s="235"/>
      <c r="D70" s="66"/>
      <c r="E70" s="100" t="str">
        <f>IF(AND(EOMONTH(DATE($A$58,MONTH("1-"&amp;A70&amp;"-"&amp;$A$58),1),0)&gt;=Generales!$B$4,DATE($A$58,MONTH("1-"&amp;A70&amp;"-"&amp;$A$58),1)&lt;=Generales!$C$4),"","FUERA DE RANGO")</f>
        <v>FUERA DE RANGO</v>
      </c>
      <c r="I70" s="29">
        <f t="shared" si="13"/>
        <v>1</v>
      </c>
      <c r="J70" s="29"/>
      <c r="K70" s="29">
        <f t="shared" si="14"/>
        <v>0</v>
      </c>
      <c r="L70">
        <v>10</v>
      </c>
      <c r="T70" s="103"/>
    </row>
    <row r="71" spans="1:20">
      <c r="A71" s="90" t="s">
        <v>21</v>
      </c>
      <c r="B71" s="91"/>
      <c r="C71" s="235"/>
      <c r="D71" s="66"/>
      <c r="E71" s="100" t="str">
        <f>IF(AND(EOMONTH(DATE($A$58,MONTH("1-"&amp;A71&amp;"-"&amp;$A$58),1),0)&gt;=Generales!$B$4,DATE($A$58,MONTH("1-"&amp;A71&amp;"-"&amp;$A$58),1)&lt;=Generales!$C$4),"","FUERA DE RANGO")</f>
        <v>FUERA DE RANGO</v>
      </c>
      <c r="I71" s="29">
        <f t="shared" si="13"/>
        <v>1</v>
      </c>
      <c r="J71" s="29"/>
      <c r="K71" s="29">
        <f t="shared" si="14"/>
        <v>0</v>
      </c>
      <c r="L71">
        <v>14</v>
      </c>
    </row>
    <row r="72" spans="1:20">
      <c r="A72" s="97"/>
      <c r="B72" s="243"/>
      <c r="D72" s="28"/>
      <c r="L72">
        <f>SUM(L60:L71)</f>
        <v>106</v>
      </c>
    </row>
    <row r="73" spans="1:20">
      <c r="A73" s="86">
        <v>2024</v>
      </c>
      <c r="B73" s="87"/>
      <c r="C73" s="88"/>
      <c r="D73" s="89"/>
      <c r="M73" t="s">
        <v>350</v>
      </c>
    </row>
    <row r="74" spans="1:20" ht="15.6" customHeight="1">
      <c r="A74" s="81" t="s">
        <v>0</v>
      </c>
      <c r="B74" s="82" t="s">
        <v>1</v>
      </c>
      <c r="C74" s="83" t="s">
        <v>2</v>
      </c>
      <c r="D74" s="84" t="s">
        <v>3</v>
      </c>
      <c r="F74" s="29" t="e">
        <f>VLOOKUP(G75,'Resoluciones de Tarifas'!E88:G105,3,TRUE)</f>
        <v>#N/A</v>
      </c>
      <c r="G74" s="29" t="e">
        <f>F74/2</f>
        <v>#N/A</v>
      </c>
      <c r="M74" s="29" t="s">
        <v>294</v>
      </c>
      <c r="N74" s="29">
        <v>2024</v>
      </c>
    </row>
    <row r="75" spans="1:20" ht="30">
      <c r="A75" s="90" t="s">
        <v>22</v>
      </c>
      <c r="B75" s="91"/>
      <c r="C75" s="235"/>
      <c r="D75" s="66"/>
      <c r="E75" s="100"/>
      <c r="F75" s="132" t="s">
        <v>339</v>
      </c>
      <c r="G75" s="29">
        <f>G76-G77-G78</f>
        <v>-106</v>
      </c>
      <c r="I75" s="29">
        <v>1</v>
      </c>
      <c r="J75" s="29"/>
      <c r="K75" s="29">
        <f t="shared" ref="K75:K83" si="15">(J75-I75)+1</f>
        <v>0</v>
      </c>
      <c r="L75">
        <v>4</v>
      </c>
      <c r="M75" s="76">
        <f>HLOOKUP($N$74,'Resoluciones de Tarifas'!$K$3:$P$10,2,FALSE)</f>
        <v>17400</v>
      </c>
      <c r="N75" s="29"/>
      <c r="O75" s="71">
        <f t="shared" ref="O75:O81" si="16">M75*N75</f>
        <v>0</v>
      </c>
      <c r="P75" s="71">
        <f t="shared" ref="P75:P81" si="17">O75/2</f>
        <v>0</v>
      </c>
    </row>
    <row r="76" spans="1:20">
      <c r="A76" s="90" t="s">
        <v>23</v>
      </c>
      <c r="B76" s="91"/>
      <c r="C76" s="235"/>
      <c r="D76" s="66"/>
      <c r="E76" s="100"/>
      <c r="F76" s="29" t="s">
        <v>341</v>
      </c>
      <c r="G76" s="29">
        <f>J71</f>
        <v>0</v>
      </c>
      <c r="I76" s="29">
        <f t="shared" ref="I76:I84" si="18">J75+1</f>
        <v>1</v>
      </c>
      <c r="J76" s="29"/>
      <c r="K76" s="29">
        <f t="shared" si="15"/>
        <v>0</v>
      </c>
      <c r="L76">
        <v>1</v>
      </c>
      <c r="M76" s="76">
        <f>HLOOKUP($N$74,'Resoluciones de Tarifas'!$K$3:$P$10,3,FALSE)</f>
        <v>26200</v>
      </c>
      <c r="N76" s="29"/>
      <c r="O76" s="71">
        <f t="shared" si="16"/>
        <v>0</v>
      </c>
      <c r="P76" s="71">
        <f t="shared" si="17"/>
        <v>0</v>
      </c>
    </row>
    <row r="77" spans="1:20">
      <c r="A77" s="90" t="s">
        <v>24</v>
      </c>
      <c r="B77" s="91"/>
      <c r="C77" s="235"/>
      <c r="D77" s="66"/>
      <c r="E77" s="100" t="str">
        <f>IF(AND(EOMONTH(DATE($A$73,MONTH("1-"&amp;A77&amp;"-"&amp;$A$73),1),0)&gt;=Generales!$B$4,DATE($A$73,MONTH("1-"&amp;A77&amp;"-"&amp;$A$73),1)&lt;=Generales!$C$4),"","FUERA DE RANGO")</f>
        <v>FUERA DE RANGO</v>
      </c>
      <c r="F77" s="74" t="s">
        <v>340</v>
      </c>
      <c r="G77" s="74">
        <v>106</v>
      </c>
      <c r="I77" s="29">
        <f t="shared" si="18"/>
        <v>1</v>
      </c>
      <c r="J77" s="29"/>
      <c r="K77" s="29">
        <f t="shared" si="15"/>
        <v>0</v>
      </c>
      <c r="M77" s="76">
        <f>HLOOKUP($N$74,'Resoluciones de Tarifas'!$K$3:$P$10,4,FALSE)</f>
        <v>39500</v>
      </c>
      <c r="N77" s="29"/>
      <c r="O77" s="71">
        <f t="shared" si="16"/>
        <v>0</v>
      </c>
      <c r="P77" s="71">
        <f t="shared" si="17"/>
        <v>0</v>
      </c>
    </row>
    <row r="78" spans="1:20">
      <c r="A78" s="90" t="s">
        <v>25</v>
      </c>
      <c r="B78" s="91"/>
      <c r="C78" s="235"/>
      <c r="D78" s="66"/>
      <c r="E78" s="100" t="str">
        <f>IF(AND(EOMONTH(DATE($A$73,MONTH("1-"&amp;A78&amp;"-"&amp;$A$73),1),0)&gt;=Generales!$B$4,DATE($A$73,MONTH("1-"&amp;A78&amp;"-"&amp;$A$73),1)&lt;=Generales!$C$4),"","FUERA DE RANGO")</f>
        <v>FUERA DE RANGO</v>
      </c>
      <c r="F78" s="74" t="s">
        <v>342</v>
      </c>
      <c r="G78" s="74">
        <v>0</v>
      </c>
      <c r="I78" s="29">
        <f t="shared" si="18"/>
        <v>1</v>
      </c>
      <c r="J78" s="29"/>
      <c r="K78" s="29">
        <f t="shared" si="15"/>
        <v>0</v>
      </c>
      <c r="M78" s="76">
        <f>HLOOKUP($N$74,'Resoluciones de Tarifas'!$K$3:$P$10,5,FALSE)</f>
        <v>47600</v>
      </c>
      <c r="N78" s="29"/>
      <c r="O78" s="71">
        <f t="shared" si="16"/>
        <v>0</v>
      </c>
      <c r="P78" s="71">
        <f t="shared" si="17"/>
        <v>0</v>
      </c>
    </row>
    <row r="79" spans="1:20">
      <c r="A79" s="90" t="s">
        <v>14</v>
      </c>
      <c r="B79" s="91"/>
      <c r="C79" s="235"/>
      <c r="D79" s="66"/>
      <c r="E79" s="100" t="str">
        <f>IF(AND(EOMONTH(DATE($A$73,MONTH("1-"&amp;A79&amp;"-"&amp;$A$73),1),0)&gt;=Generales!$B$4,DATE($A$73,MONTH("1-"&amp;A79&amp;"-"&amp;$A$73),1)&lt;=Generales!$C$4),"","FUERA DE RANGO")</f>
        <v>FUERA DE RANGO</v>
      </c>
      <c r="I79" s="29">
        <f t="shared" si="18"/>
        <v>1</v>
      </c>
      <c r="J79" s="29"/>
      <c r="K79" s="29">
        <f t="shared" si="15"/>
        <v>0</v>
      </c>
      <c r="M79" s="76">
        <f>HLOOKUP($N$74,'Resoluciones de Tarifas'!$K$3:$P$10,6,FALSE)</f>
        <v>65000</v>
      </c>
      <c r="N79" s="29"/>
      <c r="O79" s="71">
        <f t="shared" si="16"/>
        <v>0</v>
      </c>
      <c r="P79" s="71">
        <f t="shared" si="17"/>
        <v>0</v>
      </c>
    </row>
    <row r="80" spans="1:20">
      <c r="A80" s="90" t="s">
        <v>15</v>
      </c>
      <c r="B80" s="91"/>
      <c r="C80" s="235"/>
      <c r="D80" s="66"/>
      <c r="E80" s="100" t="str">
        <f>IF(AND(EOMONTH(DATE($A$73,MONTH("1-"&amp;A80&amp;"-"&amp;$A$73),1),0)&gt;=Generales!$B$4,DATE($A$73,MONTH("1-"&amp;A80&amp;"-"&amp;$A$73),1)&lt;=Generales!$C$4),"","FUERA DE RANGO")</f>
        <v>FUERA DE RANGO</v>
      </c>
      <c r="I80" s="29">
        <f t="shared" si="18"/>
        <v>1</v>
      </c>
      <c r="J80" s="29"/>
      <c r="K80" s="29">
        <f t="shared" si="15"/>
        <v>0</v>
      </c>
      <c r="M80" s="76">
        <f>HLOOKUP($N$74,'Resoluciones de Tarifas'!$K$3:$P$10,7,FALSE)</f>
        <v>76700</v>
      </c>
      <c r="N80" s="29"/>
      <c r="O80" s="71">
        <f t="shared" si="16"/>
        <v>0</v>
      </c>
      <c r="P80" s="71">
        <f t="shared" si="17"/>
        <v>0</v>
      </c>
    </row>
    <row r="81" spans="1:18">
      <c r="A81" s="90" t="s">
        <v>16</v>
      </c>
      <c r="B81" s="91"/>
      <c r="C81" s="235"/>
      <c r="D81" s="66"/>
      <c r="E81" s="100" t="str">
        <f>IF(AND(EOMONTH(DATE($A$73,MONTH("1-"&amp;A81&amp;"-"&amp;$A$73),1),0)&gt;=Generales!$B$4,DATE($A$73,MONTH("1-"&amp;A81&amp;"-"&amp;$A$73),1)&lt;=Generales!$C$4),"","FUERA DE RANGO")</f>
        <v>FUERA DE RANGO</v>
      </c>
      <c r="I81" s="29">
        <f t="shared" si="18"/>
        <v>1</v>
      </c>
      <c r="J81" s="29"/>
      <c r="K81" s="29">
        <f t="shared" si="15"/>
        <v>0</v>
      </c>
      <c r="M81" s="76">
        <f>HLOOKUP($N$74,'Resoluciones de Tarifas'!$K$3:$P$10,8,FALSE)</f>
        <v>87200</v>
      </c>
      <c r="N81" s="29"/>
      <c r="O81" s="71">
        <f t="shared" si="16"/>
        <v>0</v>
      </c>
      <c r="P81" s="71">
        <f t="shared" si="17"/>
        <v>0</v>
      </c>
    </row>
    <row r="82" spans="1:18">
      <c r="A82" s="90" t="s">
        <v>17</v>
      </c>
      <c r="B82" s="91"/>
      <c r="C82" s="235"/>
      <c r="D82" s="66"/>
      <c r="E82" s="100" t="str">
        <f>IF(AND(EOMONTH(DATE($A$73,MONTH("1-"&amp;A82&amp;"-"&amp;$A$73),1),0)&gt;=Generales!$B$4,DATE($A$73,MONTH("1-"&amp;A82&amp;"-"&amp;$A$73),1)&lt;=Generales!$C$4),"","FUERA DE RANGO")</f>
        <v>FUERA DE RANGO</v>
      </c>
      <c r="I82" s="29">
        <f t="shared" si="18"/>
        <v>1</v>
      </c>
      <c r="J82" s="29"/>
      <c r="K82" s="29">
        <f t="shared" si="15"/>
        <v>0</v>
      </c>
      <c r="N82" s="29">
        <f>SUM(N75:N81)</f>
        <v>0</v>
      </c>
      <c r="O82" s="71">
        <f>SUM(O75:O81)</f>
        <v>0</v>
      </c>
      <c r="P82" s="71">
        <f>SUM(P75:P81)</f>
        <v>0</v>
      </c>
      <c r="Q82" s="100"/>
      <c r="R82" s="100"/>
    </row>
    <row r="83" spans="1:18">
      <c r="A83" s="90" t="s">
        <v>18</v>
      </c>
      <c r="B83" s="91"/>
      <c r="C83" s="235"/>
      <c r="D83" s="66"/>
      <c r="E83" s="100" t="str">
        <f>IF(AND(EOMONTH(DATE($A$73,MONTH("1-"&amp;A83&amp;"-"&amp;$A$73),1),0)&gt;=Generales!$B$4,DATE($A$73,MONTH("1-"&amp;A83&amp;"-"&amp;$A$73),1)&lt;=Generales!$C$4),"","FUERA DE RANGO")</f>
        <v>FUERA DE RANGO</v>
      </c>
      <c r="I83" s="29">
        <f t="shared" si="18"/>
        <v>1</v>
      </c>
      <c r="J83" s="29"/>
      <c r="K83" s="29">
        <f t="shared" si="15"/>
        <v>0</v>
      </c>
    </row>
    <row r="84" spans="1:18">
      <c r="A84" s="90" t="s">
        <v>19</v>
      </c>
      <c r="B84" s="91"/>
      <c r="C84" s="235"/>
      <c r="D84" s="66"/>
      <c r="E84" s="100" t="str">
        <f>IF(AND(EOMONTH(DATE($A$73,MONTH("1-"&amp;A84&amp;"-"&amp;$A$73),1),0)&gt;=Generales!$B$4,DATE($A$73,MONTH("1-"&amp;A84&amp;"-"&amp;$A$73),1)&lt;=Generales!$C$4),"","FUERA DE RANGO")</f>
        <v>FUERA DE RANGO</v>
      </c>
      <c r="I84" s="29">
        <f t="shared" si="18"/>
        <v>1</v>
      </c>
      <c r="J84" s="29"/>
      <c r="K84" s="29">
        <f t="shared" si="14"/>
        <v>0</v>
      </c>
    </row>
    <row r="85" spans="1:18">
      <c r="A85" s="90" t="s">
        <v>20</v>
      </c>
      <c r="B85" s="91"/>
      <c r="C85" s="235"/>
      <c r="D85" s="66"/>
      <c r="E85" s="100" t="str">
        <f>IF(AND(EOMONTH(DATE($A$73,MONTH("1-"&amp;A85&amp;"-"&amp;$A$73),1),0)&gt;=Generales!$B$4,DATE($A$73,MONTH("1-"&amp;A85&amp;"-"&amp;$A$73),1)&lt;=Generales!$C$4),"","FUERA DE RANGO")</f>
        <v>FUERA DE RANGO</v>
      </c>
      <c r="I85" s="29">
        <f t="shared" ref="I85:I86" si="19">J84+1</f>
        <v>1</v>
      </c>
      <c r="J85" s="29"/>
      <c r="K85" s="29">
        <f t="shared" si="14"/>
        <v>0</v>
      </c>
    </row>
    <row r="86" spans="1:18">
      <c r="A86" s="90" t="s">
        <v>21</v>
      </c>
      <c r="B86" s="91"/>
      <c r="C86" s="235"/>
      <c r="D86" s="66"/>
      <c r="E86" s="100" t="str">
        <f>IF(AND(EOMONTH(DATE($A$73,MONTH("1-"&amp;A86&amp;"-"&amp;$A$73),1),0)&gt;=Generales!$B$4,DATE($A$73,MONTH("1-"&amp;A86&amp;"-"&amp;$A$73),1)&lt;=Generales!$C$4),"","FUERA DE RANGO")</f>
        <v>FUERA DE RANGO</v>
      </c>
      <c r="I86" s="29">
        <f t="shared" si="19"/>
        <v>1</v>
      </c>
      <c r="J86" s="29"/>
      <c r="K86" s="29">
        <f t="shared" si="14"/>
        <v>0</v>
      </c>
    </row>
    <row r="88" spans="1:18">
      <c r="A88" s="86">
        <v>2025</v>
      </c>
      <c r="B88" s="87"/>
      <c r="C88" s="88"/>
      <c r="D88" s="89"/>
    </row>
    <row r="89" spans="1:18">
      <c r="A89" s="81" t="s">
        <v>0</v>
      </c>
      <c r="B89" s="82" t="s">
        <v>1</v>
      </c>
      <c r="C89" s="83" t="s">
        <v>2</v>
      </c>
      <c r="D89" s="84" t="s">
        <v>3</v>
      </c>
      <c r="F89" s="29" t="e">
        <f>VLOOKUP(G90,'Resoluciones de Tarifas'!E109:G126,3,TRUE)</f>
        <v>#N/A</v>
      </c>
      <c r="G89" s="29" t="e">
        <f>F89/2</f>
        <v>#N/A</v>
      </c>
      <c r="M89" t="s">
        <v>350</v>
      </c>
    </row>
    <row r="90" spans="1:18" ht="15.6" customHeight="1">
      <c r="A90" s="90" t="s">
        <v>22</v>
      </c>
      <c r="B90" s="91"/>
      <c r="C90" s="235"/>
      <c r="D90" s="66"/>
      <c r="E90" s="221"/>
      <c r="F90" s="132" t="s">
        <v>339</v>
      </c>
      <c r="G90" s="29">
        <f>G91-G92-G93</f>
        <v>0</v>
      </c>
      <c r="I90" s="29">
        <f t="shared" ref="I90:I101" si="20">J89+1</f>
        <v>1</v>
      </c>
      <c r="J90" s="29"/>
      <c r="K90" s="29">
        <f t="shared" si="14"/>
        <v>0</v>
      </c>
      <c r="M90" s="29" t="s">
        <v>294</v>
      </c>
      <c r="N90" s="29">
        <v>2025</v>
      </c>
    </row>
    <row r="91" spans="1:18">
      <c r="A91" s="90" t="s">
        <v>23</v>
      </c>
      <c r="B91" s="91"/>
      <c r="C91" s="235"/>
      <c r="D91" s="66"/>
      <c r="E91" t="str">
        <f>IF(AND(EOMONTH(DATE($A$88,MONTH("1-"&amp;A91&amp;"-"&amp;$A$88),1),0)&gt;=Generales!$B$4,DATE($A$88,MONTH("1-"&amp;A91&amp;"-"&amp;$A$88),1)&lt;=Generales!$C$4),"","FUERA DE RANGO")</f>
        <v>FUERA DE RANGO</v>
      </c>
      <c r="F91" s="29" t="s">
        <v>341</v>
      </c>
      <c r="G91" s="29">
        <f>J86</f>
        <v>0</v>
      </c>
      <c r="I91" s="29">
        <f t="shared" si="20"/>
        <v>1</v>
      </c>
      <c r="J91" s="29"/>
      <c r="K91" s="29">
        <f t="shared" si="14"/>
        <v>0</v>
      </c>
      <c r="L91">
        <v>2</v>
      </c>
      <c r="M91" s="76">
        <f>HLOOKUP($N$90,'Resoluciones de Tarifas'!$K$3:$P$10,2,FALSE)</f>
        <v>18400</v>
      </c>
      <c r="N91" s="29">
        <v>5</v>
      </c>
      <c r="O91" s="71">
        <f t="shared" ref="O91:O97" si="21">M91*N91</f>
        <v>92000</v>
      </c>
      <c r="P91" s="71">
        <f t="shared" ref="P91:P97" si="22">O91/2</f>
        <v>46000</v>
      </c>
    </row>
    <row r="92" spans="1:18">
      <c r="A92" s="90" t="s">
        <v>24</v>
      </c>
      <c r="B92" s="91"/>
      <c r="C92" s="235"/>
      <c r="D92" s="66"/>
      <c r="E92" t="str">
        <f>IF(AND(EOMONTH(DATE($A$88,MONTH("1-"&amp;A92&amp;"-"&amp;$A$88),1),0)&gt;=Generales!$B$4,DATE($A$88,MONTH("1-"&amp;A92&amp;"-"&amp;$A$88),1)&lt;=Generales!$C$4),"","FUERA DE RANGO")</f>
        <v>FUERA DE RANGO</v>
      </c>
      <c r="F92" s="74" t="s">
        <v>340</v>
      </c>
      <c r="G92" s="74"/>
      <c r="I92" s="29">
        <f t="shared" si="20"/>
        <v>1</v>
      </c>
      <c r="J92" s="29"/>
      <c r="K92" s="29">
        <f t="shared" si="14"/>
        <v>0</v>
      </c>
      <c r="L92">
        <v>5</v>
      </c>
      <c r="M92" s="76">
        <f>HLOOKUP($N$90,'Resoluciones de Tarifas'!$K$3:$P$10,3,FALSE)</f>
        <v>27600</v>
      </c>
      <c r="N92" s="29">
        <v>7</v>
      </c>
      <c r="O92" s="71">
        <f t="shared" si="21"/>
        <v>193200</v>
      </c>
      <c r="P92" s="71">
        <f t="shared" si="22"/>
        <v>96600</v>
      </c>
    </row>
    <row r="93" spans="1:18">
      <c r="A93" s="90" t="s">
        <v>25</v>
      </c>
      <c r="B93" s="91"/>
      <c r="C93" s="236"/>
      <c r="D93" s="245"/>
      <c r="E93" t="str">
        <f>IF(AND(EOMONTH(DATE($A$88,MONTH("1-"&amp;A93&amp;"-"&amp;$A$88),1),0)&gt;=Generales!$B$4,DATE($A$88,MONTH("1-"&amp;A93&amp;"-"&amp;$A$88),1)&lt;=Generales!$C$4),"","FUERA DE RANGO")</f>
        <v>FUERA DE RANGO</v>
      </c>
      <c r="F93" s="74" t="s">
        <v>342</v>
      </c>
      <c r="G93" s="74">
        <v>0</v>
      </c>
      <c r="I93" s="29">
        <f t="shared" si="20"/>
        <v>1</v>
      </c>
      <c r="J93" s="29"/>
      <c r="K93" s="29">
        <f t="shared" si="14"/>
        <v>0</v>
      </c>
      <c r="L93">
        <v>4</v>
      </c>
      <c r="M93" s="76">
        <f>HLOOKUP($N$90,'Resoluciones de Tarifas'!$K$3:$P$10,4,FALSE)</f>
        <v>41700</v>
      </c>
      <c r="N93" s="29">
        <v>1</v>
      </c>
      <c r="O93" s="71">
        <f t="shared" si="21"/>
        <v>41700</v>
      </c>
      <c r="P93" s="71">
        <f t="shared" si="22"/>
        <v>20850</v>
      </c>
    </row>
    <row r="94" spans="1:18">
      <c r="A94" s="90" t="s">
        <v>14</v>
      </c>
      <c r="B94" s="91"/>
      <c r="C94" s="235"/>
      <c r="D94" s="66"/>
      <c r="E94" t="str">
        <f>IF(AND(EOMONTH(DATE($A$88,MONTH("1-"&amp;A94&amp;"-"&amp;$A$88),1),0)&gt;=Generales!$B$4,DATE($A$88,MONTH("1-"&amp;A94&amp;"-"&amp;$A$88),1)&lt;=Generales!$C$4),"","FUERA DE RANGO")</f>
        <v>FUERA DE RANGO</v>
      </c>
      <c r="I94" s="29">
        <f t="shared" si="20"/>
        <v>1</v>
      </c>
      <c r="J94" s="29"/>
      <c r="K94" s="29">
        <f t="shared" si="14"/>
        <v>0</v>
      </c>
      <c r="L94">
        <v>3</v>
      </c>
      <c r="M94" s="76">
        <f>HLOOKUP($N$90,'Resoluciones de Tarifas'!$K$3:$P$10,5,FALSE)</f>
        <v>50300</v>
      </c>
      <c r="N94" s="29">
        <v>0</v>
      </c>
      <c r="O94" s="71">
        <f t="shared" si="21"/>
        <v>0</v>
      </c>
      <c r="P94" s="71">
        <f t="shared" si="22"/>
        <v>0</v>
      </c>
    </row>
    <row r="95" spans="1:18">
      <c r="A95" s="90" t="s">
        <v>15</v>
      </c>
      <c r="B95" s="91"/>
      <c r="C95" s="235"/>
      <c r="D95" s="66"/>
      <c r="E95" t="str">
        <f>IF(AND(EOMONTH(DATE($A$88,MONTH("1-"&amp;A95&amp;"-"&amp;$A$88),1),0)&gt;=Generales!$B$4,DATE($A$88,MONTH("1-"&amp;A95&amp;"-"&amp;$A$88),1)&lt;=Generales!$C$4),"","FUERA DE RANGO")</f>
        <v>FUERA DE RANGO</v>
      </c>
      <c r="I95" s="29">
        <f t="shared" si="20"/>
        <v>1</v>
      </c>
      <c r="J95" s="29"/>
      <c r="K95" s="29">
        <f t="shared" si="14"/>
        <v>0</v>
      </c>
      <c r="M95" s="76">
        <f>HLOOKUP($N$90,'Resoluciones de Tarifas'!$K$3:$P$10,6,FALSE)</f>
        <v>68600</v>
      </c>
      <c r="N95" s="29">
        <v>0</v>
      </c>
      <c r="O95" s="71">
        <f t="shared" si="21"/>
        <v>0</v>
      </c>
      <c r="P95" s="71">
        <f t="shared" si="22"/>
        <v>0</v>
      </c>
    </row>
    <row r="96" spans="1:18">
      <c r="A96" s="90" t="s">
        <v>16</v>
      </c>
      <c r="B96" s="91"/>
      <c r="C96" s="235"/>
      <c r="D96" s="66"/>
      <c r="E96" t="str">
        <f>IF(AND(EOMONTH(DATE($A$88,MONTH("1-"&amp;A96&amp;"-"&amp;$A$88),1),0)&gt;=Generales!$B$4,DATE($A$88,MONTH("1-"&amp;A96&amp;"-"&amp;$A$88),1)&lt;=Generales!$C$4),"","FUERA DE RANGO")</f>
        <v>FUERA DE RANGO</v>
      </c>
      <c r="I96" s="29">
        <f t="shared" si="20"/>
        <v>1</v>
      </c>
      <c r="J96" s="29"/>
      <c r="K96" s="29">
        <f t="shared" si="14"/>
        <v>0</v>
      </c>
      <c r="M96" s="76">
        <f>HLOOKUP($N$90,'Resoluciones de Tarifas'!$K$3:$P$10,7,FALSE)</f>
        <v>80900</v>
      </c>
      <c r="N96" s="29">
        <v>0</v>
      </c>
      <c r="O96" s="71">
        <f t="shared" si="21"/>
        <v>0</v>
      </c>
      <c r="P96" s="71">
        <f t="shared" si="22"/>
        <v>0</v>
      </c>
    </row>
    <row r="97" spans="1:16">
      <c r="A97" s="90" t="s">
        <v>17</v>
      </c>
      <c r="B97" s="91"/>
      <c r="C97" s="235"/>
      <c r="D97" s="66"/>
      <c r="E97" t="str">
        <f>IF(AND(EOMONTH(DATE($A$88,MONTH("1-"&amp;A97&amp;"-"&amp;$A$88),1),0)&gt;=Generales!$B$4,DATE($A$88,MONTH("1-"&amp;A97&amp;"-"&amp;$A$88),1)&lt;=Generales!$C$4),"","FUERA DE RANGO")</f>
        <v>FUERA DE RANGO</v>
      </c>
      <c r="I97" s="29">
        <f t="shared" si="20"/>
        <v>1</v>
      </c>
      <c r="J97" s="29"/>
      <c r="K97" s="29">
        <f t="shared" si="14"/>
        <v>0</v>
      </c>
      <c r="M97" s="76">
        <f>HLOOKUP($N$90,'Resoluciones de Tarifas'!$K$3:$P$10,8,FALSE)</f>
        <v>92000</v>
      </c>
      <c r="N97" s="29">
        <v>0</v>
      </c>
      <c r="O97" s="71">
        <f t="shared" si="21"/>
        <v>0</v>
      </c>
      <c r="P97" s="71">
        <f t="shared" si="22"/>
        <v>0</v>
      </c>
    </row>
    <row r="98" spans="1:16">
      <c r="A98" s="90" t="s">
        <v>18</v>
      </c>
      <c r="B98" s="91"/>
      <c r="C98" s="92"/>
      <c r="D98" s="99"/>
      <c r="E98" t="str">
        <f>IF(AND(EOMONTH(DATE($A$88,MONTH("1-"&amp;A98&amp;"-"&amp;$A$88),1),0)&gt;=Generales!$B$4,DATE($A$88,MONTH("1-"&amp;A98&amp;"-"&amp;$A$88),1)&lt;=Generales!$C$4),"","FUERA DE RANGO")</f>
        <v/>
      </c>
      <c r="I98" s="29">
        <f t="shared" si="20"/>
        <v>1</v>
      </c>
      <c r="J98" s="29">
        <v>659</v>
      </c>
      <c r="K98" s="29">
        <f t="shared" si="14"/>
        <v>659</v>
      </c>
      <c r="N98" s="29">
        <f>SUM(N91:N97)</f>
        <v>13</v>
      </c>
      <c r="O98" s="71">
        <f>SUM(O91:O97)</f>
        <v>326900</v>
      </c>
      <c r="P98" s="71">
        <f>SUM(P91:P97)</f>
        <v>163450</v>
      </c>
    </row>
    <row r="99" spans="1:16">
      <c r="A99" s="90" t="s">
        <v>19</v>
      </c>
      <c r="B99" s="91"/>
      <c r="C99" s="92"/>
      <c r="D99" s="99"/>
      <c r="E99" t="str">
        <f>IF(AND(EOMONTH(DATE($A$88,MONTH("1-"&amp;A99&amp;"-"&amp;$A$88),1),0)&gt;=Generales!$B$4,DATE($A$88,MONTH("1-"&amp;A99&amp;"-"&amp;$A$88),1)&lt;=Generales!$C$4),"","FUERA DE RANGO")</f>
        <v/>
      </c>
      <c r="I99" s="29">
        <f t="shared" si="20"/>
        <v>660</v>
      </c>
      <c r="J99" s="29">
        <v>736</v>
      </c>
      <c r="K99" s="29">
        <f t="shared" si="14"/>
        <v>77</v>
      </c>
    </row>
    <row r="100" spans="1:16">
      <c r="A100" s="90" t="s">
        <v>20</v>
      </c>
      <c r="B100" s="91"/>
      <c r="C100" s="92"/>
      <c r="D100" s="99"/>
      <c r="E100" t="str">
        <f>IF(AND(EOMONTH(DATE($A$88,MONTH("1-"&amp;A100&amp;"-"&amp;$A$88),1),0)&gt;=Generales!$B$4,DATE($A$88,MONTH("1-"&amp;A100&amp;"-"&amp;$A$88),1)&lt;=Generales!$C$4),"","FUERA DE RANGO")</f>
        <v/>
      </c>
      <c r="I100" s="29">
        <f t="shared" si="20"/>
        <v>737</v>
      </c>
      <c r="J100" s="29">
        <v>784</v>
      </c>
      <c r="K100" s="29">
        <f t="shared" si="14"/>
        <v>48</v>
      </c>
    </row>
    <row r="101" spans="1:16">
      <c r="A101" s="90" t="s">
        <v>21</v>
      </c>
      <c r="B101" s="91"/>
      <c r="C101" s="92"/>
      <c r="D101" s="99"/>
      <c r="E101" t="str">
        <f>IF(AND(EOMONTH(DATE($A$88,MONTH("1-"&amp;A101&amp;"-"&amp;$A$88),1),0)&gt;=Generales!$B$4,DATE($A$88,MONTH("1-"&amp;A101&amp;"-"&amp;$A$88),1)&lt;=Generales!$C$4),"","FUERA DE RANGO")</f>
        <v/>
      </c>
      <c r="I101" s="29">
        <f t="shared" si="20"/>
        <v>785</v>
      </c>
      <c r="J101" s="29"/>
      <c r="K101" s="29">
        <f t="shared" si="14"/>
        <v>-784</v>
      </c>
    </row>
  </sheetData>
  <mergeCells count="1">
    <mergeCell ref="I2:K2"/>
  </mergeCells>
  <phoneticPr fontId="12" type="noConversion"/>
  <pageMargins left="0.7" right="0.7" top="0.75" bottom="0.75" header="0.3" footer="0.3"/>
  <pageSetup paperSize="14"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5"/>
  <dimension ref="A1:V100"/>
  <sheetViews>
    <sheetView zoomScale="68" workbookViewId="0">
      <pane ySplit="1" topLeftCell="A77" activePane="bottomLeft" state="frozen"/>
      <selection activeCell="I25" sqref="I25"/>
      <selection pane="bottomLeft" activeCell="F89" sqref="F89"/>
    </sheetView>
  </sheetViews>
  <sheetFormatPr baseColWidth="10" defaultColWidth="11.42578125" defaultRowHeight="15.75"/>
  <cols>
    <col min="1" max="1" width="11.42578125" style="1"/>
    <col min="2" max="2" width="23.28515625" style="1" bestFit="1" customWidth="1"/>
    <col min="3" max="4" width="23.28515625" style="120" customWidth="1"/>
    <col min="5" max="5" width="18.28515625" style="122" customWidth="1"/>
    <col min="6" max="6" width="23.140625" style="123" bestFit="1" customWidth="1"/>
    <col min="7" max="7" width="18.28515625" style="15" bestFit="1" customWidth="1"/>
    <col min="8" max="8" width="15.28515625" style="1" bestFit="1" customWidth="1"/>
    <col min="9" max="9" width="11.7109375" style="1" bestFit="1" customWidth="1"/>
    <col min="10" max="11" width="12.28515625" style="1" bestFit="1" customWidth="1"/>
    <col min="12" max="12" width="9.5703125" style="1" bestFit="1" customWidth="1"/>
    <col min="13" max="13" width="11.42578125" style="1"/>
    <col min="14" max="14" width="13.42578125" style="1" bestFit="1" customWidth="1"/>
    <col min="15" max="15" width="16.140625" style="1" customWidth="1"/>
    <col min="16" max="16" width="13.28515625" style="1" bestFit="1" customWidth="1"/>
    <col min="17" max="17" width="11.42578125" style="1"/>
    <col min="18" max="18" width="13.28515625" style="1" bestFit="1" customWidth="1"/>
    <col min="19" max="21" width="11.42578125" style="1"/>
    <col min="22" max="22" width="14.42578125" style="1" bestFit="1" customWidth="1"/>
    <col min="23" max="16384" width="11.42578125" style="1"/>
  </cols>
  <sheetData>
    <row r="1" spans="1:22" ht="64.900000000000006" customHeight="1">
      <c r="A1" s="81" t="s">
        <v>0</v>
      </c>
      <c r="B1" s="82" t="s">
        <v>1</v>
      </c>
      <c r="C1" s="117" t="s">
        <v>66</v>
      </c>
      <c r="D1" s="117" t="s">
        <v>68</v>
      </c>
      <c r="E1" s="118" t="s">
        <v>2</v>
      </c>
      <c r="F1" s="119" t="s">
        <v>63</v>
      </c>
      <c r="G1" s="218"/>
      <c r="H1" s="135" t="s">
        <v>344</v>
      </c>
      <c r="I1" s="135" t="s">
        <v>346</v>
      </c>
      <c r="J1" s="135" t="s">
        <v>72</v>
      </c>
      <c r="K1" s="135" t="s">
        <v>73</v>
      </c>
      <c r="L1" s="135" t="s">
        <v>345</v>
      </c>
      <c r="M1" s="135"/>
      <c r="N1" s="135" t="s">
        <v>343</v>
      </c>
    </row>
    <row r="2" spans="1:22">
      <c r="A2" s="114" t="s">
        <v>16</v>
      </c>
      <c r="B2" s="82">
        <f>Recaudo!B4</f>
        <v>0</v>
      </c>
      <c r="C2" s="117">
        <f>Recaudo!C4</f>
        <v>0</v>
      </c>
      <c r="D2" s="136"/>
      <c r="E2" s="118">
        <f>IF(C2="FUERA DE RANGO","FUERA DE RANGO",C2+D2)</f>
        <v>0</v>
      </c>
      <c r="F2" s="119">
        <f>Recaudo!D4</f>
        <v>0</v>
      </c>
      <c r="G2" s="219" t="str">
        <f>Recaudo!E4</f>
        <v>FUERA DE RANGO</v>
      </c>
      <c r="H2" s="133">
        <f>IF(D2&lt;I2,D2-I2,"NO")</f>
        <v>-23000</v>
      </c>
      <c r="I2" s="3">
        <f>((Recaudo!F3*J2)+(Recaudo!G3*K2))</f>
        <v>23000</v>
      </c>
      <c r="J2" s="3">
        <v>5</v>
      </c>
      <c r="K2" s="3">
        <v>0</v>
      </c>
      <c r="L2" s="3">
        <v>0</v>
      </c>
      <c r="M2" s="3">
        <f>K2+J2</f>
        <v>5</v>
      </c>
      <c r="N2" s="134" t="str">
        <f>IF('Fondo (Recaudo + Aporte)'!M2+L2=Recaudo!K3,"SÍ","NO")</f>
        <v>NO</v>
      </c>
      <c r="O2" s="120"/>
    </row>
    <row r="3" spans="1:22">
      <c r="A3" s="114" t="s">
        <v>17</v>
      </c>
      <c r="B3" s="82">
        <f>Recaudo!B5</f>
        <v>0</v>
      </c>
      <c r="C3" s="117">
        <f>Recaudo!C5</f>
        <v>0</v>
      </c>
      <c r="D3" s="136"/>
      <c r="E3" s="118">
        <f t="shared" ref="E3:E7" si="0">IF(C3="FUERA DE RANGO","FUERA DE RANGO",C3+D3)</f>
        <v>0</v>
      </c>
      <c r="F3" s="119">
        <f>Recaudo!D5</f>
        <v>0</v>
      </c>
      <c r="G3" s="219" t="str">
        <f>Recaudo!E5</f>
        <v>FUERA DE RANGO</v>
      </c>
      <c r="H3" s="133" t="str">
        <f t="shared" ref="H3:H66" si="1">IF(D3&lt;I3,D3-I3,"NO")</f>
        <v>NO</v>
      </c>
      <c r="I3" s="3">
        <f>((Recaudo!F4*J3)+(Recaudo!G4*K3))</f>
        <v>0</v>
      </c>
      <c r="J3" s="3">
        <v>5</v>
      </c>
      <c r="K3" s="3">
        <v>0</v>
      </c>
      <c r="L3" s="3">
        <v>0</v>
      </c>
      <c r="M3" s="3">
        <f t="shared" ref="M3:M7" si="2">K3+J3</f>
        <v>5</v>
      </c>
      <c r="N3" s="134" t="str">
        <f>IF('Fondo (Recaudo + Aporte)'!M3+L3=Recaudo!K4,"SÍ","NO")</f>
        <v>NO</v>
      </c>
      <c r="O3" s="120"/>
    </row>
    <row r="4" spans="1:22">
      <c r="A4" s="114" t="s">
        <v>18</v>
      </c>
      <c r="B4" s="82">
        <f>Recaudo!B6</f>
        <v>0</v>
      </c>
      <c r="C4" s="117">
        <f>Recaudo!C6</f>
        <v>0</v>
      </c>
      <c r="D4" s="136"/>
      <c r="E4" s="118">
        <f t="shared" si="0"/>
        <v>0</v>
      </c>
      <c r="F4" s="119">
        <f>Recaudo!D6</f>
        <v>0</v>
      </c>
      <c r="G4" s="219" t="str">
        <f>Recaudo!E6</f>
        <v>FUERA DE RANGO</v>
      </c>
      <c r="H4" s="133" t="str">
        <f t="shared" si="1"/>
        <v>NO</v>
      </c>
      <c r="I4" s="3">
        <f>((Recaudo!F5*J4)+(Recaudo!G5*K4))</f>
        <v>0</v>
      </c>
      <c r="J4" s="3">
        <v>5</v>
      </c>
      <c r="K4" s="3">
        <v>0</v>
      </c>
      <c r="L4" s="3">
        <v>0</v>
      </c>
      <c r="M4" s="3">
        <f t="shared" si="2"/>
        <v>5</v>
      </c>
      <c r="N4" s="134" t="str">
        <f>IF('Fondo (Recaudo + Aporte)'!M4+L4=Recaudo!K5,"SÍ","NO")</f>
        <v>NO</v>
      </c>
      <c r="O4" s="120"/>
    </row>
    <row r="5" spans="1:22">
      <c r="A5" s="114" t="s">
        <v>19</v>
      </c>
      <c r="B5" s="82">
        <f>Recaudo!B7</f>
        <v>0</v>
      </c>
      <c r="C5" s="117">
        <f>Recaudo!C7</f>
        <v>0</v>
      </c>
      <c r="D5" s="136"/>
      <c r="E5" s="118">
        <f t="shared" si="0"/>
        <v>0</v>
      </c>
      <c r="F5" s="119">
        <f>Recaudo!D7</f>
        <v>0</v>
      </c>
      <c r="G5" s="219" t="str">
        <f>Recaudo!E7</f>
        <v>FUERA DE RANGO</v>
      </c>
      <c r="H5" s="133" t="str">
        <f t="shared" si="1"/>
        <v>NO</v>
      </c>
      <c r="I5" s="3">
        <f>((Recaudo!F6*J5)+(Recaudo!G6*K5))</f>
        <v>0</v>
      </c>
      <c r="J5" s="3">
        <v>5</v>
      </c>
      <c r="K5" s="3">
        <v>0</v>
      </c>
      <c r="L5" s="3">
        <v>0</v>
      </c>
      <c r="M5" s="3">
        <f t="shared" si="2"/>
        <v>5</v>
      </c>
      <c r="N5" s="134" t="str">
        <f>IF('Fondo (Recaudo + Aporte)'!M5+L5=Recaudo!K6,"SÍ","NO")</f>
        <v>NO</v>
      </c>
      <c r="O5" s="120"/>
    </row>
    <row r="6" spans="1:22">
      <c r="A6" s="114" t="s">
        <v>20</v>
      </c>
      <c r="B6" s="82">
        <f>Recaudo!B8</f>
        <v>0</v>
      </c>
      <c r="C6" s="117">
        <f>Recaudo!C8</f>
        <v>0</v>
      </c>
      <c r="D6" s="136"/>
      <c r="E6" s="118">
        <f t="shared" si="0"/>
        <v>0</v>
      </c>
      <c r="F6" s="119">
        <f>Recaudo!D8</f>
        <v>0</v>
      </c>
      <c r="G6" s="219" t="str">
        <f>Recaudo!E8</f>
        <v>FUERA DE RANGO</v>
      </c>
      <c r="H6" s="133" t="str">
        <f t="shared" si="1"/>
        <v>NO</v>
      </c>
      <c r="I6" s="3">
        <f>((Recaudo!F7*J6)+(Recaudo!G7*K6))</f>
        <v>0</v>
      </c>
      <c r="J6" s="3">
        <v>5</v>
      </c>
      <c r="K6" s="3">
        <v>0</v>
      </c>
      <c r="L6" s="3">
        <v>0</v>
      </c>
      <c r="M6" s="3">
        <f t="shared" si="2"/>
        <v>5</v>
      </c>
      <c r="N6" s="134" t="str">
        <f>IF('Fondo (Recaudo + Aporte)'!M6+L6=Recaudo!K7,"SÍ","NO")</f>
        <v>NO</v>
      </c>
      <c r="O6" s="120"/>
      <c r="P6" s="121"/>
    </row>
    <row r="7" spans="1:22">
      <c r="A7" s="3" t="s">
        <v>21</v>
      </c>
      <c r="B7" s="82">
        <f>Recaudo!B9</f>
        <v>0</v>
      </c>
      <c r="C7" s="117">
        <f>Recaudo!C9</f>
        <v>0</v>
      </c>
      <c r="D7" s="136"/>
      <c r="E7" s="118">
        <f t="shared" si="0"/>
        <v>0</v>
      </c>
      <c r="F7" s="119">
        <f>Recaudo!D9</f>
        <v>0</v>
      </c>
      <c r="G7" s="219" t="str">
        <f>Recaudo!E9</f>
        <v>FUERA DE RANGO</v>
      </c>
      <c r="H7" s="133" t="str">
        <f t="shared" si="1"/>
        <v>NO</v>
      </c>
      <c r="I7" s="3">
        <f>((Recaudo!F8*J7)+(Recaudo!G8*K7))</f>
        <v>0</v>
      </c>
      <c r="J7" s="3">
        <v>5</v>
      </c>
      <c r="K7" s="3">
        <v>0</v>
      </c>
      <c r="L7" s="3">
        <v>0</v>
      </c>
      <c r="M7" s="3">
        <f t="shared" si="2"/>
        <v>5</v>
      </c>
      <c r="N7" s="134" t="str">
        <f>IF('Fondo (Recaudo + Aporte)'!M7+L7=Recaudo!K8,"SÍ","NO")</f>
        <v>NO</v>
      </c>
      <c r="O7" s="120"/>
    </row>
    <row r="8" spans="1:22">
      <c r="B8" s="109"/>
      <c r="C8" s="110"/>
      <c r="D8" s="110"/>
      <c r="E8" s="111"/>
      <c r="F8" s="112"/>
      <c r="G8" s="220"/>
      <c r="H8" s="126"/>
      <c r="N8" s="120"/>
    </row>
    <row r="9" spans="1:22">
      <c r="A9" s="109"/>
      <c r="B9" s="109"/>
      <c r="C9" s="110"/>
      <c r="D9" s="110"/>
      <c r="E9" s="111"/>
      <c r="F9" s="112"/>
      <c r="G9" s="220"/>
      <c r="H9" s="126"/>
      <c r="N9" s="120"/>
    </row>
    <row r="10" spans="1:22">
      <c r="H10" s="126"/>
      <c r="N10" s="120"/>
    </row>
    <row r="11" spans="1:22">
      <c r="A11" s="113" t="s">
        <v>40</v>
      </c>
      <c r="B11" s="82" t="s">
        <v>1</v>
      </c>
      <c r="C11" s="117" t="s">
        <v>66</v>
      </c>
      <c r="D11" s="117" t="s">
        <v>68</v>
      </c>
      <c r="E11" s="118" t="s">
        <v>2</v>
      </c>
      <c r="F11" s="119" t="s">
        <v>63</v>
      </c>
      <c r="G11" s="218"/>
      <c r="J11" s="126"/>
      <c r="N11" s="120"/>
    </row>
    <row r="12" spans="1:22">
      <c r="A12" s="81" t="s">
        <v>0</v>
      </c>
      <c r="B12" s="104"/>
      <c r="C12" s="101"/>
      <c r="D12" s="101"/>
      <c r="E12" s="115"/>
      <c r="F12" s="116"/>
      <c r="G12" s="220"/>
      <c r="H12" s="126"/>
      <c r="N12" s="120"/>
      <c r="P12" s="120"/>
    </row>
    <row r="13" spans="1:22" ht="31.5">
      <c r="A13" s="114" t="s">
        <v>22</v>
      </c>
      <c r="B13" s="82" t="str">
        <f>Recaudo!B14</f>
        <v>PSE</v>
      </c>
      <c r="C13" s="117"/>
      <c r="D13" s="136"/>
      <c r="E13" s="118">
        <f t="shared" ref="E13:E25" si="3">IF(C13="FUERA DE RANGO","FUERA DE RANGO",C13+D13)</f>
        <v>0</v>
      </c>
      <c r="F13" s="119">
        <f>Recaudo!D14</f>
        <v>43866</v>
      </c>
      <c r="G13" s="218" t="str">
        <f>Recaudo!E14</f>
        <v>FUERA DE RANGO</v>
      </c>
      <c r="H13" s="133" t="str">
        <f t="shared" si="1"/>
        <v>NO</v>
      </c>
      <c r="I13" s="3">
        <f>((Recaudo!$F$13*J13)+(Recaudo!$G$13*K13))</f>
        <v>0</v>
      </c>
      <c r="J13" s="3"/>
      <c r="K13" s="3"/>
      <c r="L13" s="3"/>
      <c r="M13" s="3"/>
      <c r="N13" s="134" t="str">
        <f>IF('Fondo (Recaudo + Aporte)'!M13+L13=Recaudo!K14,"SÍ","NO")</f>
        <v>SÍ</v>
      </c>
      <c r="P13" s="120"/>
    </row>
    <row r="14" spans="1:22" ht="31.5">
      <c r="A14" s="114" t="s">
        <v>23</v>
      </c>
      <c r="B14" s="82" t="s">
        <v>291</v>
      </c>
      <c r="C14" s="117"/>
      <c r="D14" s="136"/>
      <c r="E14" s="118">
        <f t="shared" si="3"/>
        <v>0</v>
      </c>
      <c r="F14" s="119">
        <f>Recaudo!D15</f>
        <v>43896</v>
      </c>
      <c r="G14" s="218" t="str">
        <f>Recaudo!E15</f>
        <v>FUERA DE RANGO</v>
      </c>
      <c r="H14" s="133" t="str">
        <f t="shared" si="1"/>
        <v>NO</v>
      </c>
      <c r="I14" s="3">
        <f>((Recaudo!$F$13*J14)+(Recaudo!$G$13*K14))</f>
        <v>0</v>
      </c>
      <c r="J14" s="3"/>
      <c r="K14" s="3"/>
      <c r="L14" s="3"/>
      <c r="M14" s="3">
        <f t="shared" ref="M14:M76" si="4">K14+J14</f>
        <v>0</v>
      </c>
      <c r="N14" s="134" t="str">
        <f>IF('Fondo (Recaudo + Aporte)'!M14+L14=Recaudo!K15,"SÍ","NO")</f>
        <v>SÍ</v>
      </c>
      <c r="Q14" s="1">
        <f>P14+O14</f>
        <v>0</v>
      </c>
      <c r="R14" s="124"/>
      <c r="S14" s="1">
        <v>931900</v>
      </c>
      <c r="T14" s="124">
        <v>1406150</v>
      </c>
      <c r="U14" s="124">
        <f>T14+S14</f>
        <v>2338050</v>
      </c>
      <c r="V14" s="125"/>
    </row>
    <row r="15" spans="1:22" ht="19.899999999999999" customHeight="1">
      <c r="A15" s="114" t="s">
        <v>23</v>
      </c>
      <c r="B15" s="82" t="str">
        <f>Recaudo!B16</f>
        <v>PSE</v>
      </c>
      <c r="C15" s="117"/>
      <c r="D15" s="136"/>
      <c r="E15" s="118">
        <f t="shared" si="3"/>
        <v>0</v>
      </c>
      <c r="F15" s="119">
        <f>Recaudo!D16</f>
        <v>43896</v>
      </c>
      <c r="G15" s="218" t="str">
        <f>Recaudo!E16</f>
        <v>FUERA DE RANGO</v>
      </c>
      <c r="H15" s="133" t="str">
        <f t="shared" si="1"/>
        <v>NO</v>
      </c>
      <c r="I15" s="3">
        <f>((Recaudo!$F$13*J15)+(Recaudo!$G$13*K15))</f>
        <v>0</v>
      </c>
      <c r="J15" s="3"/>
      <c r="K15" s="3"/>
      <c r="L15" s="3"/>
      <c r="M15" s="3">
        <f t="shared" si="4"/>
        <v>0</v>
      </c>
      <c r="N15" s="134" t="str">
        <f>IF('Fondo (Recaudo + Aporte)'!M15+L15=Recaudo!K16,"SÍ","NO")</f>
        <v>SÍ</v>
      </c>
      <c r="O15" s="120"/>
      <c r="P15" s="120"/>
    </row>
    <row r="16" spans="1:22" ht="31.5">
      <c r="A16" s="114" t="s">
        <v>24</v>
      </c>
      <c r="B16" s="82" t="str">
        <f>Recaudo!B17</f>
        <v>PSE</v>
      </c>
      <c r="C16" s="117">
        <f>Recaudo!C17</f>
        <v>0</v>
      </c>
      <c r="D16" s="137"/>
      <c r="E16" s="118">
        <f t="shared" si="3"/>
        <v>0</v>
      </c>
      <c r="F16" s="119">
        <f>Recaudo!D17</f>
        <v>43935</v>
      </c>
      <c r="G16" s="218" t="str">
        <f>Recaudo!E17</f>
        <v>FUERA DE RANGO</v>
      </c>
      <c r="H16" s="133" t="str">
        <f t="shared" si="1"/>
        <v>NO</v>
      </c>
      <c r="I16" s="3">
        <f>((Recaudo!$F$13*J16)+(Recaudo!$G$13*K16))</f>
        <v>0</v>
      </c>
      <c r="J16" s="3"/>
      <c r="K16" s="3"/>
      <c r="L16" s="3"/>
      <c r="M16" s="3">
        <f t="shared" si="4"/>
        <v>0</v>
      </c>
      <c r="N16" s="134" t="str">
        <f>IF('Fondo (Recaudo + Aporte)'!M16+L16=Recaudo!K17,"SÍ","NO")</f>
        <v>SÍ</v>
      </c>
      <c r="O16" s="120"/>
      <c r="P16" s="120"/>
    </row>
    <row r="17" spans="1:16" ht="31.5">
      <c r="A17" s="114" t="s">
        <v>8</v>
      </c>
      <c r="B17" s="82" t="str">
        <f>Recaudo!B18</f>
        <v>PSE</v>
      </c>
      <c r="C17" s="117">
        <f>Recaudo!C33</f>
        <v>0</v>
      </c>
      <c r="D17" s="137">
        <f>E17-C17</f>
        <v>5898800</v>
      </c>
      <c r="E17" s="118">
        <v>5898800</v>
      </c>
      <c r="F17" s="119">
        <f>Recaudo!D33</f>
        <v>0</v>
      </c>
      <c r="G17" s="218" t="str">
        <f>Recaudo!E18</f>
        <v>FUERA DE RANGO</v>
      </c>
      <c r="H17" s="133" t="str">
        <f t="shared" si="1"/>
        <v>NO</v>
      </c>
      <c r="I17" s="3">
        <f>((Recaudo!F29*J17)+(Recaudo!$G$29*K17))</f>
        <v>0</v>
      </c>
      <c r="J17" s="3"/>
      <c r="K17" s="3"/>
      <c r="L17" s="3"/>
      <c r="M17" s="3">
        <f>K17+J17</f>
        <v>0</v>
      </c>
      <c r="N17" s="134" t="str">
        <f>IF('Fondo (Recaudo + Aporte)'!M17+L17=Recaudo!K18,"SÍ","NO")</f>
        <v>SÍ</v>
      </c>
      <c r="O17" s="120"/>
      <c r="P17" s="120"/>
    </row>
    <row r="18" spans="1:16" ht="31.5">
      <c r="A18" s="114" t="s">
        <v>14</v>
      </c>
      <c r="B18" s="82" t="str">
        <f>Recaudo!B19</f>
        <v>PSE</v>
      </c>
      <c r="C18" s="117">
        <f>Recaudo!C34</f>
        <v>0</v>
      </c>
      <c r="D18" s="137"/>
      <c r="E18" s="118">
        <f t="shared" si="3"/>
        <v>0</v>
      </c>
      <c r="F18" s="119">
        <f>Recaudo!D19</f>
        <v>43985</v>
      </c>
      <c r="G18" s="218" t="str">
        <f>Recaudo!E19</f>
        <v>FUERA DE RANGO</v>
      </c>
      <c r="H18" s="133" t="str">
        <f t="shared" si="1"/>
        <v>NO</v>
      </c>
      <c r="I18" s="3">
        <f>((Recaudo!$F$13*J18)+(Recaudo!$G$13*K18))</f>
        <v>0</v>
      </c>
      <c r="J18" s="3"/>
      <c r="K18" s="3"/>
      <c r="L18" s="3"/>
      <c r="M18" s="3">
        <f t="shared" si="4"/>
        <v>0</v>
      </c>
      <c r="N18" s="134" t="str">
        <f>IF('Fondo (Recaudo + Aporte)'!M18+L18=Recaudo!K19,"SÍ","NO")</f>
        <v>SÍ</v>
      </c>
      <c r="P18" s="120"/>
    </row>
    <row r="19" spans="1:16" ht="31.5">
      <c r="A19" s="114" t="s">
        <v>15</v>
      </c>
      <c r="B19" s="82" t="str">
        <f>Recaudo!B20</f>
        <v>PSE</v>
      </c>
      <c r="C19" s="117">
        <f>Recaudo!C35</f>
        <v>0</v>
      </c>
      <c r="D19" s="137"/>
      <c r="E19" s="118">
        <f t="shared" si="3"/>
        <v>0</v>
      </c>
      <c r="F19" s="119">
        <f>Recaudo!D20</f>
        <v>44021</v>
      </c>
      <c r="G19" s="218" t="str">
        <f>Recaudo!E20</f>
        <v>FUERA DE RANGO</v>
      </c>
      <c r="H19" s="133" t="str">
        <f t="shared" si="1"/>
        <v>NO</v>
      </c>
      <c r="I19" s="3">
        <f>((Recaudo!$F$13*J19)+(Recaudo!$G$13*K19))</f>
        <v>0</v>
      </c>
      <c r="J19" s="3"/>
      <c r="K19" s="3"/>
      <c r="L19" s="3"/>
      <c r="M19" s="3">
        <f t="shared" si="4"/>
        <v>0</v>
      </c>
      <c r="N19" s="134" t="str">
        <f>IF('Fondo (Recaudo + Aporte)'!M19+L19=Recaudo!K20,"SÍ","NO")</f>
        <v>SÍ</v>
      </c>
      <c r="P19" s="120"/>
    </row>
    <row r="20" spans="1:16" ht="31.5">
      <c r="A20" s="114" t="s">
        <v>38</v>
      </c>
      <c r="B20" s="82" t="str">
        <f>Recaudo!B21</f>
        <v>PSE</v>
      </c>
      <c r="C20" s="117">
        <f>Recaudo!C36</f>
        <v>0</v>
      </c>
      <c r="D20" s="137"/>
      <c r="E20" s="118">
        <f t="shared" si="3"/>
        <v>0</v>
      </c>
      <c r="F20" s="119">
        <f>Recaudo!D21</f>
        <v>44054</v>
      </c>
      <c r="G20" s="218" t="str">
        <f>Recaudo!E21</f>
        <v>FUERA DE RANGO</v>
      </c>
      <c r="H20" s="133" t="str">
        <f t="shared" si="1"/>
        <v>NO</v>
      </c>
      <c r="I20" s="3">
        <f>((Recaudo!$F$13*J20)+(Recaudo!$G$13*K20))</f>
        <v>0</v>
      </c>
      <c r="J20" s="3"/>
      <c r="K20" s="3"/>
      <c r="L20" s="3"/>
      <c r="M20" s="3">
        <f t="shared" si="4"/>
        <v>0</v>
      </c>
      <c r="N20" s="134" t="str">
        <f>IF('Fondo (Recaudo + Aporte)'!M20+L20=Recaudo!K21,"SÍ","NO")</f>
        <v>SÍ</v>
      </c>
      <c r="P20" s="120"/>
    </row>
    <row r="21" spans="1:16" ht="31.5">
      <c r="A21" s="114" t="s">
        <v>17</v>
      </c>
      <c r="B21" s="82" t="str">
        <f>Recaudo!B22</f>
        <v>PSE</v>
      </c>
      <c r="C21" s="117">
        <f>Recaudo!C37</f>
        <v>0</v>
      </c>
      <c r="D21" s="137"/>
      <c r="E21" s="118">
        <f t="shared" si="3"/>
        <v>0</v>
      </c>
      <c r="F21" s="119">
        <f>Recaudo!D22</f>
        <v>44084</v>
      </c>
      <c r="G21" s="218" t="str">
        <f>Recaudo!E22</f>
        <v>FUERA DE RANGO</v>
      </c>
      <c r="H21" s="133" t="str">
        <f t="shared" si="1"/>
        <v>NO</v>
      </c>
      <c r="I21" s="3">
        <f>((Recaudo!$F$13*J21)+(Recaudo!$G$13*K21))</f>
        <v>0</v>
      </c>
      <c r="J21" s="3"/>
      <c r="K21" s="3"/>
      <c r="L21" s="3"/>
      <c r="M21" s="3">
        <f t="shared" si="4"/>
        <v>0</v>
      </c>
      <c r="N21" s="134" t="str">
        <f>IF('Fondo (Recaudo + Aporte)'!M21+L21=Recaudo!K22,"SÍ","NO")</f>
        <v>SÍ</v>
      </c>
      <c r="P21" s="120"/>
    </row>
    <row r="22" spans="1:16" ht="31.5">
      <c r="A22" s="114" t="s">
        <v>18</v>
      </c>
      <c r="B22" s="82" t="str">
        <f>Recaudo!B23</f>
        <v>PSE</v>
      </c>
      <c r="C22" s="117">
        <f>Recaudo!C38</f>
        <v>0</v>
      </c>
      <c r="D22" s="137"/>
      <c r="E22" s="118">
        <f>IF(C22="FUERA DE RANGO","FUERA DE RANGO",C22+D22)</f>
        <v>0</v>
      </c>
      <c r="F22" s="119">
        <f>Recaudo!D23</f>
        <v>44117</v>
      </c>
      <c r="G22" s="218" t="str">
        <f>Recaudo!E23</f>
        <v>FUERA DE RANGO</v>
      </c>
      <c r="H22" s="133" t="str">
        <f t="shared" si="1"/>
        <v>NO</v>
      </c>
      <c r="I22" s="3">
        <f>((Recaudo!$F$13*J22)+(Recaudo!$G$13*K22))</f>
        <v>0</v>
      </c>
      <c r="J22" s="3"/>
      <c r="K22" s="3"/>
      <c r="L22" s="3"/>
      <c r="M22" s="3">
        <f t="shared" si="4"/>
        <v>0</v>
      </c>
      <c r="N22" s="134" t="str">
        <f>IF('Fondo (Recaudo + Aporte)'!M22+L22=Recaudo!K23,"SÍ","NO")</f>
        <v>SÍ</v>
      </c>
    </row>
    <row r="23" spans="1:16" ht="31.5">
      <c r="A23" s="114" t="s">
        <v>19</v>
      </c>
      <c r="B23" s="82" t="str">
        <f>Recaudo!B24</f>
        <v>PSE</v>
      </c>
      <c r="C23" s="117">
        <f>Recaudo!C39</f>
        <v>0</v>
      </c>
      <c r="D23" s="137"/>
      <c r="E23" s="118">
        <f>IF(C23="FUERA DE RANGO","FUERA DE RANGO",C23+D23)</f>
        <v>0</v>
      </c>
      <c r="F23" s="119">
        <f>Recaudo!D24</f>
        <v>44145</v>
      </c>
      <c r="G23" s="218" t="str">
        <f>Recaudo!E24</f>
        <v>FUERA DE RANGO</v>
      </c>
      <c r="H23" s="133" t="str">
        <f t="shared" si="1"/>
        <v>NO</v>
      </c>
      <c r="I23" s="3">
        <f>((Recaudo!$F$13*J23)+(Recaudo!$G$13*K23))</f>
        <v>0</v>
      </c>
      <c r="J23" s="3"/>
      <c r="K23" s="3"/>
      <c r="L23" s="3"/>
      <c r="M23" s="3">
        <f>K23+J23</f>
        <v>0</v>
      </c>
      <c r="N23" s="134" t="str">
        <f>IF('Fondo (Recaudo + Aporte)'!M23+L23=Recaudo!K24,"SÍ","NO")</f>
        <v>SÍ</v>
      </c>
    </row>
    <row r="24" spans="1:16" ht="31.5">
      <c r="A24" s="114" t="s">
        <v>20</v>
      </c>
      <c r="B24" s="82" t="str">
        <f>Recaudo!B25</f>
        <v>PSE</v>
      </c>
      <c r="C24" s="117">
        <f>Recaudo!C40</f>
        <v>0</v>
      </c>
      <c r="D24" s="137"/>
      <c r="E24" s="118">
        <f t="shared" si="3"/>
        <v>0</v>
      </c>
      <c r="F24" s="119">
        <f>Recaudo!D25</f>
        <v>44175</v>
      </c>
      <c r="G24" s="218" t="str">
        <f>Recaudo!E25</f>
        <v>FUERA DE RANGO</v>
      </c>
      <c r="H24" s="133" t="str">
        <f t="shared" si="1"/>
        <v>NO</v>
      </c>
      <c r="I24" s="3">
        <f>((Recaudo!$F$13*J24)+(Recaudo!$G$13*K24))</f>
        <v>0</v>
      </c>
      <c r="J24" s="3"/>
      <c r="K24" s="3"/>
      <c r="L24" s="3"/>
      <c r="M24" s="3">
        <f t="shared" si="4"/>
        <v>0</v>
      </c>
      <c r="N24" s="134" t="str">
        <f>IF('Fondo (Recaudo + Aporte)'!M24+L24=Recaudo!K25,"SÍ","NO")</f>
        <v>SÍ</v>
      </c>
      <c r="P24" s="120"/>
    </row>
    <row r="25" spans="1:16" ht="31.5">
      <c r="A25" s="114" t="s">
        <v>21</v>
      </c>
      <c r="B25" s="82" t="str">
        <f>Recaudo!B26</f>
        <v>PSE</v>
      </c>
      <c r="C25" s="117">
        <f>Recaudo!C41</f>
        <v>0</v>
      </c>
      <c r="D25" s="137"/>
      <c r="E25" s="118">
        <f t="shared" si="3"/>
        <v>0</v>
      </c>
      <c r="F25" s="119">
        <f>Recaudo!D26</f>
        <v>44531</v>
      </c>
      <c r="G25" s="218" t="str">
        <f>Recaudo!E26</f>
        <v>FUERA DE RANGO</v>
      </c>
      <c r="H25" s="133" t="str">
        <f t="shared" si="1"/>
        <v>NO</v>
      </c>
      <c r="I25" s="3">
        <f>((Recaudo!$F$13*J25)+(Recaudo!$G$13*K25))</f>
        <v>0</v>
      </c>
      <c r="J25" s="3"/>
      <c r="K25" s="3"/>
      <c r="L25" s="3"/>
      <c r="M25" s="3">
        <f t="shared" si="4"/>
        <v>0</v>
      </c>
      <c r="N25" s="134" t="str">
        <f>IF('Fondo (Recaudo + Aporte)'!M25+L25=Recaudo!K26,"SÍ","NO")</f>
        <v>SÍ</v>
      </c>
    </row>
    <row r="26" spans="1:16">
      <c r="B26" s="109"/>
      <c r="C26" s="110"/>
      <c r="D26" s="110"/>
      <c r="E26" s="111"/>
      <c r="F26" s="112"/>
      <c r="G26" s="220"/>
      <c r="H26" s="126"/>
      <c r="N26" s="120"/>
    </row>
    <row r="27" spans="1:16">
      <c r="A27" s="113" t="s">
        <v>41</v>
      </c>
      <c r="B27" s="82" t="s">
        <v>1</v>
      </c>
      <c r="C27" s="117" t="s">
        <v>66</v>
      </c>
      <c r="D27" s="117" t="s">
        <v>68</v>
      </c>
      <c r="E27" s="118" t="s">
        <v>2</v>
      </c>
      <c r="F27" s="119" t="s">
        <v>63</v>
      </c>
      <c r="G27" s="218"/>
      <c r="H27" s="126"/>
      <c r="N27" s="120"/>
    </row>
    <row r="28" spans="1:16">
      <c r="A28" s="81" t="s">
        <v>0</v>
      </c>
      <c r="B28" s="104"/>
      <c r="C28" s="101"/>
      <c r="D28" s="101"/>
      <c r="E28" s="115"/>
      <c r="F28" s="116"/>
      <c r="G28" s="220"/>
      <c r="H28" s="126"/>
      <c r="N28" s="120"/>
    </row>
    <row r="29" spans="1:16" ht="31.5">
      <c r="A29" s="114" t="s">
        <v>22</v>
      </c>
      <c r="B29" s="82">
        <f>Recaudo!B30</f>
        <v>0</v>
      </c>
      <c r="C29" s="117">
        <f>Recaudo!C30</f>
        <v>0</v>
      </c>
      <c r="D29" s="137"/>
      <c r="E29" s="118">
        <f t="shared" ref="E29:E40" si="5">IF(C29="FUERA DE RANGO","FUERA DE RANGO",C29+D29)</f>
        <v>0</v>
      </c>
      <c r="F29" s="119">
        <f>Recaudo!D30</f>
        <v>0</v>
      </c>
      <c r="G29" s="218" t="str">
        <f>Recaudo!E30</f>
        <v>FUERA DE RANGO</v>
      </c>
      <c r="H29" s="133" t="str">
        <f t="shared" si="1"/>
        <v>NO</v>
      </c>
      <c r="I29" s="3">
        <f>((Recaudo!$F$29*J29)+(Recaudo!$G$29*K29))</f>
        <v>0</v>
      </c>
      <c r="J29" s="3"/>
      <c r="K29" s="3"/>
      <c r="L29" s="3"/>
      <c r="M29" s="3">
        <f>K29+J29</f>
        <v>0</v>
      </c>
      <c r="N29" s="134" t="str">
        <f>IF('Fondo (Recaudo + Aporte)'!M29+L29=Recaudo!K30,"SÍ","NO")</f>
        <v>SÍ</v>
      </c>
    </row>
    <row r="30" spans="1:16" ht="31.5">
      <c r="A30" s="114" t="s">
        <v>23</v>
      </c>
      <c r="B30" s="82">
        <f>Recaudo!B31</f>
        <v>0</v>
      </c>
      <c r="C30" s="117">
        <f>Recaudo!C31</f>
        <v>0</v>
      </c>
      <c r="D30" s="137"/>
      <c r="E30" s="118">
        <f t="shared" si="5"/>
        <v>0</v>
      </c>
      <c r="F30" s="119">
        <f>Recaudo!D31</f>
        <v>0</v>
      </c>
      <c r="G30" s="218" t="str">
        <f>Recaudo!E31</f>
        <v>FUERA DE RANGO</v>
      </c>
      <c r="H30" s="133" t="str">
        <f t="shared" si="1"/>
        <v>NO</v>
      </c>
      <c r="I30" s="3">
        <f>((Recaudo!$F$29*J30)+(Recaudo!$G$29*K30))</f>
        <v>0</v>
      </c>
      <c r="J30" s="3"/>
      <c r="K30" s="3"/>
      <c r="L30" s="3"/>
      <c r="M30" s="3">
        <f t="shared" si="4"/>
        <v>0</v>
      </c>
      <c r="N30" s="134" t="str">
        <f>IF('Fondo (Recaudo + Aporte)'!M30+L30=Recaudo!K31,"SÍ","NO")</f>
        <v>SÍ</v>
      </c>
    </row>
    <row r="31" spans="1:16" ht="31.5">
      <c r="A31" s="114" t="s">
        <v>24</v>
      </c>
      <c r="B31" s="82">
        <f>Recaudo!B32</f>
        <v>0</v>
      </c>
      <c r="C31" s="117">
        <f>Recaudo!C32</f>
        <v>0</v>
      </c>
      <c r="D31" s="137"/>
      <c r="E31" s="118">
        <f t="shared" si="5"/>
        <v>0</v>
      </c>
      <c r="F31" s="119">
        <f>Recaudo!D32</f>
        <v>0</v>
      </c>
      <c r="G31" s="218" t="str">
        <f>Recaudo!E32</f>
        <v>FUERA DE RANGO</v>
      </c>
      <c r="H31" s="133" t="str">
        <f t="shared" si="1"/>
        <v>NO</v>
      </c>
      <c r="I31" s="3">
        <f>((Recaudo!$F$29*J31)+(Recaudo!$G$29*K31))</f>
        <v>0</v>
      </c>
      <c r="J31" s="3"/>
      <c r="K31" s="3"/>
      <c r="L31" s="3"/>
      <c r="M31" s="3">
        <f t="shared" si="4"/>
        <v>0</v>
      </c>
      <c r="N31" s="134" t="str">
        <f>IF('Fondo (Recaudo + Aporte)'!M31+L31=Recaudo!K32,"SÍ","NO")</f>
        <v>NO</v>
      </c>
    </row>
    <row r="32" spans="1:16" ht="31.5">
      <c r="A32" s="114" t="s">
        <v>8</v>
      </c>
      <c r="B32" s="82">
        <f>Recaudo!B33</f>
        <v>0</v>
      </c>
      <c r="C32" s="117">
        <f>Recaudo!C33</f>
        <v>0</v>
      </c>
      <c r="D32" s="137"/>
      <c r="E32" s="118">
        <v>5898800</v>
      </c>
      <c r="F32" s="119">
        <f>Recaudo!D33</f>
        <v>0</v>
      </c>
      <c r="G32" s="218" t="str">
        <f>Recaudo!E33</f>
        <v>FUERA DE RANGO</v>
      </c>
      <c r="H32" s="133" t="str">
        <f t="shared" si="1"/>
        <v>NO</v>
      </c>
      <c r="I32" s="3">
        <f>((Recaudo!$F$29*J32)+(Recaudo!$G$29*K32))</f>
        <v>0</v>
      </c>
      <c r="J32" s="3"/>
      <c r="K32" s="3"/>
      <c r="L32" s="3"/>
      <c r="M32" s="3">
        <f t="shared" si="4"/>
        <v>0</v>
      </c>
      <c r="N32" s="134" t="str">
        <f>IF('Fondo (Recaudo + Aporte)'!M32+L32=Recaudo!K33,"SÍ","NO")</f>
        <v>NO</v>
      </c>
    </row>
    <row r="33" spans="1:14" ht="31.5">
      <c r="A33" s="114" t="s">
        <v>14</v>
      </c>
      <c r="B33" s="82">
        <f>Recaudo!B34</f>
        <v>0</v>
      </c>
      <c r="C33" s="117">
        <f>Recaudo!C34</f>
        <v>0</v>
      </c>
      <c r="D33" s="137"/>
      <c r="E33" s="118">
        <f t="shared" si="5"/>
        <v>0</v>
      </c>
      <c r="F33" s="119">
        <f>Recaudo!D34</f>
        <v>0</v>
      </c>
      <c r="G33" s="218" t="str">
        <f>Recaudo!E34</f>
        <v>FUERA DE RANGO</v>
      </c>
      <c r="H33" s="133" t="str">
        <f t="shared" si="1"/>
        <v>NO</v>
      </c>
      <c r="I33" s="3">
        <f>((Recaudo!$F$29*J33)+(Recaudo!$G$29*K33))</f>
        <v>0</v>
      </c>
      <c r="J33" s="3"/>
      <c r="K33" s="3"/>
      <c r="L33" s="3"/>
      <c r="M33" s="3">
        <f t="shared" si="4"/>
        <v>0</v>
      </c>
      <c r="N33" s="134" t="str">
        <f>IF('Fondo (Recaudo + Aporte)'!M33+L33=Recaudo!K34,"SÍ","NO")</f>
        <v>NO</v>
      </c>
    </row>
    <row r="34" spans="1:14" ht="31.5">
      <c r="A34" s="114" t="s">
        <v>15</v>
      </c>
      <c r="B34" s="82">
        <f>Recaudo!B35</f>
        <v>0</v>
      </c>
      <c r="C34" s="117">
        <f>Recaudo!C35</f>
        <v>0</v>
      </c>
      <c r="D34" s="137"/>
      <c r="E34" s="118">
        <f t="shared" si="5"/>
        <v>0</v>
      </c>
      <c r="F34" s="119">
        <f>Recaudo!D35</f>
        <v>0</v>
      </c>
      <c r="G34" s="218" t="str">
        <f>Recaudo!E35</f>
        <v>FUERA DE RANGO</v>
      </c>
      <c r="H34" s="133" t="str">
        <f t="shared" si="1"/>
        <v>NO</v>
      </c>
      <c r="I34" s="3">
        <f>((Recaudo!$F$29*J34)+(Recaudo!$G$29*K34))</f>
        <v>0</v>
      </c>
      <c r="J34" s="3"/>
      <c r="K34" s="3"/>
      <c r="L34" s="3"/>
      <c r="M34" s="3">
        <f t="shared" si="4"/>
        <v>0</v>
      </c>
      <c r="N34" s="134" t="str">
        <f>IF('Fondo (Recaudo + Aporte)'!M34+L34=Recaudo!K35,"SÍ","NO")</f>
        <v>NO</v>
      </c>
    </row>
    <row r="35" spans="1:14" ht="31.5">
      <c r="A35" s="114" t="s">
        <v>38</v>
      </c>
      <c r="B35" s="82">
        <f>Recaudo!B36</f>
        <v>0</v>
      </c>
      <c r="C35" s="117">
        <f>Recaudo!C36</f>
        <v>0</v>
      </c>
      <c r="D35" s="137"/>
      <c r="E35" s="118">
        <f t="shared" si="5"/>
        <v>0</v>
      </c>
      <c r="F35" s="119">
        <f>Recaudo!D36</f>
        <v>0</v>
      </c>
      <c r="G35" s="218" t="str">
        <f>Recaudo!E36</f>
        <v>FUERA DE RANGO</v>
      </c>
      <c r="H35" s="133" t="str">
        <f t="shared" si="1"/>
        <v>NO</v>
      </c>
      <c r="I35" s="3">
        <f>((Recaudo!$F$29*J35)+(Recaudo!$G$29*K35))</f>
        <v>0</v>
      </c>
      <c r="J35" s="3"/>
      <c r="K35" s="3"/>
      <c r="L35" s="3"/>
      <c r="M35" s="3">
        <f t="shared" si="4"/>
        <v>0</v>
      </c>
      <c r="N35" s="134" t="str">
        <f>IF('Fondo (Recaudo + Aporte)'!M35+L35=Recaudo!K36,"SÍ","NO")</f>
        <v>NO</v>
      </c>
    </row>
    <row r="36" spans="1:14" ht="31.5">
      <c r="A36" s="114" t="s">
        <v>17</v>
      </c>
      <c r="B36" s="82">
        <f>Recaudo!B37</f>
        <v>0</v>
      </c>
      <c r="C36" s="117">
        <f>Recaudo!C37</f>
        <v>0</v>
      </c>
      <c r="D36" s="137"/>
      <c r="E36" s="118">
        <f t="shared" si="5"/>
        <v>0</v>
      </c>
      <c r="F36" s="119">
        <f>Recaudo!D37</f>
        <v>0</v>
      </c>
      <c r="G36" s="218" t="str">
        <f>Recaudo!E37</f>
        <v>FUERA DE RANGO</v>
      </c>
      <c r="H36" s="133" t="str">
        <f t="shared" si="1"/>
        <v>NO</v>
      </c>
      <c r="I36" s="3">
        <f>((Recaudo!$F$29*J36)+(Recaudo!$G$29*K36))</f>
        <v>0</v>
      </c>
      <c r="J36" s="3"/>
      <c r="K36" s="3"/>
      <c r="L36" s="3"/>
      <c r="M36" s="3">
        <f t="shared" si="4"/>
        <v>0</v>
      </c>
      <c r="N36" s="134" t="str">
        <f>IF('Fondo (Recaudo + Aporte)'!M36+L36=Recaudo!K37,"SÍ","NO")</f>
        <v>NO</v>
      </c>
    </row>
    <row r="37" spans="1:14" ht="31.5">
      <c r="A37" s="114" t="s">
        <v>18</v>
      </c>
      <c r="B37" s="82">
        <f>Recaudo!B38</f>
        <v>0</v>
      </c>
      <c r="C37" s="117">
        <f>Recaudo!C38</f>
        <v>0</v>
      </c>
      <c r="D37" s="137"/>
      <c r="E37" s="118">
        <f t="shared" si="5"/>
        <v>0</v>
      </c>
      <c r="F37" s="119">
        <f>Recaudo!D38</f>
        <v>0</v>
      </c>
      <c r="G37" s="218" t="str">
        <f>Recaudo!E38</f>
        <v>FUERA DE RANGO</v>
      </c>
      <c r="H37" s="133" t="str">
        <f t="shared" si="1"/>
        <v>NO</v>
      </c>
      <c r="I37" s="3">
        <f>((Recaudo!$F$29*J37)+(Recaudo!$G$29*K37))</f>
        <v>0</v>
      </c>
      <c r="J37" s="3"/>
      <c r="K37" s="3"/>
      <c r="L37" s="3"/>
      <c r="M37" s="3">
        <f t="shared" si="4"/>
        <v>0</v>
      </c>
      <c r="N37" s="134" t="str">
        <f>IF('Fondo (Recaudo + Aporte)'!M37+L37=Recaudo!K38,"SÍ","NO")</f>
        <v>NO</v>
      </c>
    </row>
    <row r="38" spans="1:14" ht="31.5">
      <c r="A38" s="114" t="s">
        <v>19</v>
      </c>
      <c r="B38" s="82">
        <f>Recaudo!B39</f>
        <v>0</v>
      </c>
      <c r="C38" s="117">
        <f>Recaudo!C39</f>
        <v>0</v>
      </c>
      <c r="D38" s="137"/>
      <c r="E38" s="118">
        <f t="shared" si="5"/>
        <v>0</v>
      </c>
      <c r="F38" s="119">
        <f>Recaudo!D39</f>
        <v>0</v>
      </c>
      <c r="G38" s="218" t="str">
        <f>Recaudo!E39</f>
        <v>FUERA DE RANGO</v>
      </c>
      <c r="H38" s="133" t="str">
        <f t="shared" si="1"/>
        <v>NO</v>
      </c>
      <c r="I38" s="3">
        <f>((Recaudo!$F$29*J38)+(Recaudo!$G$29*K38))</f>
        <v>0</v>
      </c>
      <c r="J38" s="3"/>
      <c r="K38" s="3"/>
      <c r="L38" s="3"/>
      <c r="M38" s="3">
        <f t="shared" si="4"/>
        <v>0</v>
      </c>
      <c r="N38" s="134" t="str">
        <f>IF('Fondo (Recaudo + Aporte)'!M38+L38=Recaudo!K39,"SÍ","NO")</f>
        <v>NO</v>
      </c>
    </row>
    <row r="39" spans="1:14" ht="31.5">
      <c r="A39" s="114" t="s">
        <v>20</v>
      </c>
      <c r="B39" s="82">
        <f>Recaudo!B40</f>
        <v>0</v>
      </c>
      <c r="C39" s="117">
        <f>Recaudo!C40</f>
        <v>0</v>
      </c>
      <c r="D39" s="137"/>
      <c r="E39" s="118">
        <f t="shared" si="5"/>
        <v>0</v>
      </c>
      <c r="F39" s="119">
        <f>Recaudo!D40</f>
        <v>0</v>
      </c>
      <c r="G39" s="218" t="str">
        <f>Recaudo!E40</f>
        <v>FUERA DE RANGO</v>
      </c>
      <c r="H39" s="133" t="str">
        <f t="shared" si="1"/>
        <v>NO</v>
      </c>
      <c r="I39" s="3">
        <f>((Recaudo!$F$29*J39)+(Recaudo!$G$29*K39))</f>
        <v>0</v>
      </c>
      <c r="J39" s="3"/>
      <c r="K39" s="3"/>
      <c r="L39" s="3"/>
      <c r="M39" s="3">
        <f t="shared" si="4"/>
        <v>0</v>
      </c>
      <c r="N39" s="134" t="str">
        <f>IF('Fondo (Recaudo + Aporte)'!M39+L39=Recaudo!K40,"SÍ","NO")</f>
        <v>NO</v>
      </c>
    </row>
    <row r="40" spans="1:14" ht="31.5">
      <c r="A40" s="114" t="s">
        <v>21</v>
      </c>
      <c r="B40" s="82">
        <f>Recaudo!B41</f>
        <v>0</v>
      </c>
      <c r="C40" s="117">
        <f>Recaudo!C41</f>
        <v>0</v>
      </c>
      <c r="D40" s="137"/>
      <c r="E40" s="118">
        <f t="shared" si="5"/>
        <v>0</v>
      </c>
      <c r="F40" s="119">
        <f>Recaudo!D41</f>
        <v>0</v>
      </c>
      <c r="G40" s="218" t="str">
        <f>Recaudo!E41</f>
        <v>FUERA DE RANGO</v>
      </c>
      <c r="H40" s="133" t="str">
        <f t="shared" si="1"/>
        <v>NO</v>
      </c>
      <c r="I40" s="3">
        <f>((Recaudo!$F$29*J40)+(Recaudo!$G$29*K40))</f>
        <v>0</v>
      </c>
      <c r="J40" s="3"/>
      <c r="K40" s="3"/>
      <c r="L40" s="3"/>
      <c r="M40" s="3">
        <f t="shared" si="4"/>
        <v>0</v>
      </c>
      <c r="N40" s="134" t="str">
        <f>IF('Fondo (Recaudo + Aporte)'!M40+L40=Recaudo!K41,"SÍ","NO")</f>
        <v>NO</v>
      </c>
    </row>
    <row r="41" spans="1:14">
      <c r="B41" s="109"/>
      <c r="C41" s="110"/>
      <c r="D41" s="110"/>
      <c r="E41" s="111"/>
      <c r="F41" s="112"/>
      <c r="G41" s="220"/>
      <c r="H41" s="126"/>
      <c r="N41" s="120"/>
    </row>
    <row r="42" spans="1:14">
      <c r="A42" s="113" t="s">
        <v>42</v>
      </c>
      <c r="B42" s="82" t="s">
        <v>1</v>
      </c>
      <c r="C42" s="117" t="s">
        <v>66</v>
      </c>
      <c r="D42" s="117" t="s">
        <v>68</v>
      </c>
      <c r="E42" s="118" t="s">
        <v>2</v>
      </c>
      <c r="F42" s="119" t="s">
        <v>63</v>
      </c>
      <c r="G42" s="218"/>
      <c r="H42" s="126"/>
      <c r="N42" s="120"/>
    </row>
    <row r="43" spans="1:14">
      <c r="A43" s="81" t="s">
        <v>0</v>
      </c>
      <c r="B43" s="104"/>
      <c r="C43" s="101"/>
      <c r="D43" s="101"/>
      <c r="E43" s="115"/>
      <c r="F43" s="116"/>
      <c r="G43" s="220"/>
      <c r="H43" s="126"/>
      <c r="N43" s="120"/>
    </row>
    <row r="44" spans="1:14" ht="31.5">
      <c r="A44" s="114" t="s">
        <v>22</v>
      </c>
      <c r="B44" s="82">
        <f>Recaudo!B45</f>
        <v>0</v>
      </c>
      <c r="C44" s="117">
        <f>Recaudo!C45</f>
        <v>0</v>
      </c>
      <c r="D44" s="137"/>
      <c r="E44" s="118">
        <f t="shared" ref="E44:E50" si="6">IF(C44="FUERA DE RANGO","FUERA DE RANGO",C44+D44)</f>
        <v>0</v>
      </c>
      <c r="F44" s="119">
        <f>Recaudo!D45</f>
        <v>0</v>
      </c>
      <c r="G44" s="218" t="str">
        <f>Recaudo!E45</f>
        <v>FUERA DE RANGO</v>
      </c>
      <c r="H44" s="133" t="str">
        <f t="shared" si="1"/>
        <v>NO</v>
      </c>
      <c r="I44" s="3">
        <f>((Recaudo!$F$29*J44)+(Recaudo!$G$29*K44))</f>
        <v>0</v>
      </c>
      <c r="J44" s="3"/>
      <c r="K44" s="3"/>
      <c r="L44" s="3"/>
      <c r="M44" s="3">
        <f>K44+J44</f>
        <v>0</v>
      </c>
      <c r="N44" s="134" t="str">
        <f>IF('Fondo (Recaudo + Aporte)'!M44+L44=Recaudo!K45,"SÍ","NO")</f>
        <v>SÍ</v>
      </c>
    </row>
    <row r="45" spans="1:14" ht="31.5">
      <c r="A45" s="114" t="s">
        <v>23</v>
      </c>
      <c r="B45" s="82">
        <f>Recaudo!B46</f>
        <v>0</v>
      </c>
      <c r="C45" s="117">
        <f>Recaudo!C46</f>
        <v>0</v>
      </c>
      <c r="D45" s="137"/>
      <c r="E45" s="118">
        <f t="shared" si="6"/>
        <v>0</v>
      </c>
      <c r="F45" s="119">
        <f>Recaudo!D46</f>
        <v>0</v>
      </c>
      <c r="G45" s="218" t="str">
        <f>Recaudo!E46</f>
        <v>FUERA DE RANGO</v>
      </c>
      <c r="H45" s="133" t="e">
        <f>IF(D45&lt;I45,D45-I45,"NO")</f>
        <v>#N/A</v>
      </c>
      <c r="I45" s="3" t="e">
        <f>((Recaudo!$F$44*J45)+(Recaudo!$G$44*K45))</f>
        <v>#N/A</v>
      </c>
      <c r="J45" s="3"/>
      <c r="K45" s="3"/>
      <c r="L45" s="3"/>
      <c r="M45" s="3">
        <f t="shared" si="4"/>
        <v>0</v>
      </c>
      <c r="N45" s="134" t="str">
        <f>IF('Fondo (Recaudo + Aporte)'!M45+L45=Recaudo!K46,"SÍ","NO")</f>
        <v>SÍ</v>
      </c>
    </row>
    <row r="46" spans="1:14" ht="31.5">
      <c r="A46" s="114" t="s">
        <v>24</v>
      </c>
      <c r="B46" s="82">
        <f>Recaudo!B47</f>
        <v>0</v>
      </c>
      <c r="C46" s="117">
        <f>Recaudo!C47</f>
        <v>0</v>
      </c>
      <c r="D46" s="137"/>
      <c r="E46" s="118">
        <f t="shared" si="6"/>
        <v>0</v>
      </c>
      <c r="F46" s="119">
        <f>Recaudo!D47</f>
        <v>0</v>
      </c>
      <c r="G46" s="218" t="str">
        <f>Recaudo!E47</f>
        <v>FUERA DE RANGO</v>
      </c>
      <c r="H46" s="133" t="e">
        <f t="shared" si="1"/>
        <v>#N/A</v>
      </c>
      <c r="I46" s="3" t="e">
        <f>((Recaudo!$F$44*J46)+(Recaudo!$G$44*K46))</f>
        <v>#N/A</v>
      </c>
      <c r="J46" s="3"/>
      <c r="K46" s="3"/>
      <c r="L46" s="3"/>
      <c r="M46" s="3">
        <f t="shared" si="4"/>
        <v>0</v>
      </c>
      <c r="N46" s="134" t="str">
        <f>IF('Fondo (Recaudo + Aporte)'!M46+L46=Recaudo!K47,"SÍ","NO")</f>
        <v>SÍ</v>
      </c>
    </row>
    <row r="47" spans="1:14" ht="31.5">
      <c r="A47" s="114" t="s">
        <v>8</v>
      </c>
      <c r="B47" s="82">
        <f>Recaudo!B48</f>
        <v>0</v>
      </c>
      <c r="C47" s="117">
        <f>Recaudo!C48</f>
        <v>0</v>
      </c>
      <c r="D47" s="137"/>
      <c r="E47" s="118">
        <f t="shared" si="6"/>
        <v>0</v>
      </c>
      <c r="F47" s="119">
        <f>Recaudo!D48</f>
        <v>0</v>
      </c>
      <c r="G47" s="218" t="str">
        <f>Recaudo!E48</f>
        <v>FUERA DE RANGO</v>
      </c>
      <c r="H47" s="133" t="e">
        <f t="shared" si="1"/>
        <v>#N/A</v>
      </c>
      <c r="I47" s="3" t="e">
        <f>((Recaudo!$F$44*J47)+(Recaudo!$G$44*K47))</f>
        <v>#N/A</v>
      </c>
      <c r="J47" s="3"/>
      <c r="K47" s="3"/>
      <c r="L47" s="3"/>
      <c r="M47" s="3">
        <f t="shared" si="4"/>
        <v>0</v>
      </c>
      <c r="N47" s="134" t="str">
        <f>IF('Fondo (Recaudo + Aporte)'!M47+L47=Recaudo!K48,"SÍ","NO")</f>
        <v>SÍ</v>
      </c>
    </row>
    <row r="48" spans="1:14" ht="31.5">
      <c r="A48" s="114" t="s">
        <v>14</v>
      </c>
      <c r="B48" s="82">
        <f>Recaudo!B49</f>
        <v>0</v>
      </c>
      <c r="C48" s="117">
        <f>Recaudo!C49</f>
        <v>0</v>
      </c>
      <c r="D48" s="137"/>
      <c r="E48" s="118">
        <f t="shared" si="6"/>
        <v>0</v>
      </c>
      <c r="F48" s="119">
        <f>Recaudo!D49</f>
        <v>0</v>
      </c>
      <c r="G48" s="218" t="str">
        <f>Recaudo!E49</f>
        <v>FUERA DE RANGO</v>
      </c>
      <c r="H48" s="133" t="e">
        <f t="shared" si="1"/>
        <v>#N/A</v>
      </c>
      <c r="I48" s="3" t="e">
        <f>((Recaudo!$F$44*J48)+(Recaudo!$G$44*K48))</f>
        <v>#N/A</v>
      </c>
      <c r="J48" s="3"/>
      <c r="K48" s="3"/>
      <c r="L48" s="3"/>
      <c r="M48" s="3">
        <f t="shared" si="4"/>
        <v>0</v>
      </c>
      <c r="N48" s="134" t="str">
        <f>IF('Fondo (Recaudo + Aporte)'!M48+L48=Recaudo!K49,"SÍ","NO")</f>
        <v>SÍ</v>
      </c>
    </row>
    <row r="49" spans="1:18" ht="31.5">
      <c r="A49" s="114" t="s">
        <v>15</v>
      </c>
      <c r="B49" s="82">
        <f>Recaudo!B50</f>
        <v>0</v>
      </c>
      <c r="C49" s="117">
        <f>Recaudo!C50</f>
        <v>0</v>
      </c>
      <c r="D49" s="137"/>
      <c r="E49" s="118">
        <f t="shared" si="6"/>
        <v>0</v>
      </c>
      <c r="F49" s="119">
        <f>Recaudo!D50</f>
        <v>0</v>
      </c>
      <c r="G49" s="218" t="str">
        <f>Recaudo!E50</f>
        <v>FUERA DE RANGO</v>
      </c>
      <c r="H49" s="133" t="e">
        <f t="shared" si="1"/>
        <v>#N/A</v>
      </c>
      <c r="I49" s="3" t="e">
        <f>((Recaudo!$F$44*J49)+(Recaudo!$G$44*K49))</f>
        <v>#N/A</v>
      </c>
      <c r="J49" s="3"/>
      <c r="K49" s="3"/>
      <c r="L49" s="3"/>
      <c r="M49" s="3">
        <f t="shared" si="4"/>
        <v>0</v>
      </c>
      <c r="N49" s="134" t="str">
        <f>IF('Fondo (Recaudo + Aporte)'!M49+L49=Recaudo!K50,"SÍ","NO")</f>
        <v>SÍ</v>
      </c>
    </row>
    <row r="50" spans="1:18" ht="31.5">
      <c r="A50" s="114" t="s">
        <v>16</v>
      </c>
      <c r="B50" s="82">
        <f>Recaudo!B51</f>
        <v>0</v>
      </c>
      <c r="C50" s="117">
        <f>Recaudo!C51</f>
        <v>0</v>
      </c>
      <c r="D50" s="137"/>
      <c r="E50" s="118">
        <f t="shared" si="6"/>
        <v>0</v>
      </c>
      <c r="F50" s="119">
        <v>44774</v>
      </c>
      <c r="G50" s="218" t="str">
        <f>Recaudo!E51</f>
        <v>FUERA DE RANGO</v>
      </c>
      <c r="H50" s="133" t="e">
        <f t="shared" si="1"/>
        <v>#N/A</v>
      </c>
      <c r="I50" s="3" t="e">
        <f>((Recaudo!$F$44*J50)+(Recaudo!$G$44*K50))</f>
        <v>#N/A</v>
      </c>
      <c r="J50" s="3"/>
      <c r="K50" s="3"/>
      <c r="L50" s="3"/>
      <c r="M50" s="3">
        <f t="shared" si="4"/>
        <v>0</v>
      </c>
      <c r="N50" s="134" t="str">
        <f>IF('Fondo (Recaudo + Aporte)'!M50+L50=Recaudo!K51,"SÍ","NO")</f>
        <v>SÍ</v>
      </c>
    </row>
    <row r="51" spans="1:18" ht="31.5">
      <c r="A51" s="114" t="s">
        <v>17</v>
      </c>
      <c r="B51" s="82">
        <f>Recaudo!B52</f>
        <v>0</v>
      </c>
      <c r="C51" s="117">
        <f>Recaudo!C52</f>
        <v>0</v>
      </c>
      <c r="D51" s="137"/>
      <c r="E51" s="118">
        <f>C51+D51</f>
        <v>0</v>
      </c>
      <c r="F51" s="119">
        <v>44805</v>
      </c>
      <c r="G51" s="218" t="str">
        <f>Recaudo!E52</f>
        <v>FUERA DE RANGO</v>
      </c>
      <c r="H51" s="133" t="e">
        <f t="shared" si="1"/>
        <v>#N/A</v>
      </c>
      <c r="I51" s="3" t="e">
        <f>((Recaudo!$F$44*J51)+(Recaudo!$G$44*K51))</f>
        <v>#N/A</v>
      </c>
      <c r="J51" s="3"/>
      <c r="K51" s="3"/>
      <c r="L51" s="3"/>
      <c r="M51" s="3">
        <f t="shared" si="4"/>
        <v>0</v>
      </c>
      <c r="N51" s="134" t="str">
        <f>IF('Fondo (Recaudo + Aporte)'!M51+L51=Recaudo!K52,"SÍ","NO")</f>
        <v>SÍ</v>
      </c>
      <c r="O51" s="126"/>
    </row>
    <row r="52" spans="1:18" ht="31.5">
      <c r="A52" s="114" t="s">
        <v>18</v>
      </c>
      <c r="B52" s="82">
        <f>Recaudo!B53</f>
        <v>0</v>
      </c>
      <c r="C52" s="117">
        <f>Recaudo!C53</f>
        <v>0</v>
      </c>
      <c r="D52" s="137"/>
      <c r="E52" s="118">
        <f t="shared" ref="E52:E55" si="7">C52+D52</f>
        <v>0</v>
      </c>
      <c r="F52" s="119">
        <f>Recaudo!D53</f>
        <v>0</v>
      </c>
      <c r="G52" s="218" t="str">
        <f>Recaudo!E53</f>
        <v>FUERA DE RANGO</v>
      </c>
      <c r="H52" s="133" t="e">
        <f t="shared" si="1"/>
        <v>#N/A</v>
      </c>
      <c r="I52" s="3" t="e">
        <f>((Recaudo!$F$44*J52)+(Recaudo!$G$44*K52))</f>
        <v>#N/A</v>
      </c>
      <c r="J52" s="3"/>
      <c r="K52" s="3"/>
      <c r="L52" s="3"/>
      <c r="M52" s="3">
        <f t="shared" si="4"/>
        <v>0</v>
      </c>
      <c r="N52" s="134" t="str">
        <f>IF('Fondo (Recaudo + Aporte)'!M52+L52=Recaudo!K53,"SÍ","NO")</f>
        <v>SÍ</v>
      </c>
      <c r="O52" s="127"/>
    </row>
    <row r="53" spans="1:18" ht="31.5">
      <c r="A53" s="114" t="s">
        <v>19</v>
      </c>
      <c r="B53" s="82">
        <f>Recaudo!B54</f>
        <v>0</v>
      </c>
      <c r="C53" s="117">
        <f>Recaudo!C54</f>
        <v>0</v>
      </c>
      <c r="D53" s="137"/>
      <c r="E53" s="118">
        <f t="shared" si="7"/>
        <v>0</v>
      </c>
      <c r="F53" s="119">
        <f>Recaudo!D54</f>
        <v>0</v>
      </c>
      <c r="G53" s="218" t="str">
        <f>Recaudo!E54</f>
        <v>FUERA DE RANGO</v>
      </c>
      <c r="H53" s="133" t="e">
        <f t="shared" si="1"/>
        <v>#N/A</v>
      </c>
      <c r="I53" s="3" t="e">
        <f>((Recaudo!$F$44*J53)+(Recaudo!$G$44*K53))</f>
        <v>#N/A</v>
      </c>
      <c r="J53" s="3"/>
      <c r="K53" s="3"/>
      <c r="L53" s="3"/>
      <c r="M53" s="3">
        <f t="shared" si="4"/>
        <v>0</v>
      </c>
      <c r="N53" s="134" t="str">
        <f>IF('Fondo (Recaudo + Aporte)'!M53+L53=Recaudo!K54,"SÍ","NO")</f>
        <v>SÍ</v>
      </c>
      <c r="O53" s="126"/>
    </row>
    <row r="54" spans="1:18" ht="31.5">
      <c r="A54" s="114" t="s">
        <v>20</v>
      </c>
      <c r="B54" s="82">
        <f>Recaudo!B56</f>
        <v>0</v>
      </c>
      <c r="C54" s="117">
        <f>Recaudo!C55</f>
        <v>0</v>
      </c>
      <c r="D54" s="137"/>
      <c r="E54" s="118">
        <f t="shared" si="7"/>
        <v>0</v>
      </c>
      <c r="F54" s="119">
        <f>Recaudo!D55</f>
        <v>0</v>
      </c>
      <c r="G54" s="218" t="str">
        <f>Recaudo!E55</f>
        <v>FUERA DE RANGO</v>
      </c>
      <c r="H54" s="133" t="e">
        <f t="shared" si="1"/>
        <v>#N/A</v>
      </c>
      <c r="I54" s="3" t="e">
        <f>((Recaudo!$F$44*J54)+(Recaudo!$G$44*K54))</f>
        <v>#N/A</v>
      </c>
      <c r="J54" s="3"/>
      <c r="K54" s="3"/>
      <c r="L54" s="3"/>
      <c r="M54" s="3">
        <f t="shared" si="4"/>
        <v>0</v>
      </c>
      <c r="N54" s="134" t="str">
        <f>IF('Fondo (Recaudo + Aporte)'!M54+L54=Recaudo!K55,"SÍ","NO")</f>
        <v>SÍ</v>
      </c>
    </row>
    <row r="55" spans="1:18" ht="31.5">
      <c r="A55" s="114" t="s">
        <v>21</v>
      </c>
      <c r="B55" s="82">
        <f>Recaudo!B56</f>
        <v>0</v>
      </c>
      <c r="C55" s="117">
        <f>Recaudo!C56</f>
        <v>0</v>
      </c>
      <c r="D55" s="137"/>
      <c r="E55" s="118">
        <f t="shared" si="7"/>
        <v>0</v>
      </c>
      <c r="F55" s="119">
        <f>Recaudo!D56</f>
        <v>0</v>
      </c>
      <c r="G55" s="218" t="str">
        <f>Recaudo!E56</f>
        <v>FUERA DE RANGO</v>
      </c>
      <c r="H55" s="133" t="e">
        <f t="shared" si="1"/>
        <v>#N/A</v>
      </c>
      <c r="I55" s="3" t="e">
        <f>((Recaudo!$F$44*J55)+(Recaudo!$G$44*K55))</f>
        <v>#N/A</v>
      </c>
      <c r="J55" s="3"/>
      <c r="K55" s="3"/>
      <c r="L55" s="3"/>
      <c r="M55" s="3">
        <f t="shared" si="4"/>
        <v>0</v>
      </c>
      <c r="N55" s="134" t="str">
        <f>IF('Fondo (Recaudo + Aporte)'!M55+L55=Recaudo!K56,"SÍ","NO")</f>
        <v>SÍ</v>
      </c>
    </row>
    <row r="56" spans="1:18">
      <c r="B56" s="109"/>
      <c r="C56" s="110"/>
      <c r="D56" s="110"/>
      <c r="E56" s="111"/>
      <c r="F56" s="112"/>
      <c r="G56" s="220"/>
      <c r="H56" s="126"/>
      <c r="N56" s="120"/>
    </row>
    <row r="57" spans="1:18">
      <c r="A57" s="113" t="s">
        <v>65</v>
      </c>
      <c r="B57" s="82" t="s">
        <v>1</v>
      </c>
      <c r="C57" s="117" t="s">
        <v>66</v>
      </c>
      <c r="D57" s="117" t="s">
        <v>68</v>
      </c>
      <c r="E57" s="118" t="s">
        <v>2</v>
      </c>
      <c r="F57" s="119" t="s">
        <v>63</v>
      </c>
      <c r="G57" s="218"/>
      <c r="H57" s="126"/>
      <c r="N57" s="120"/>
    </row>
    <row r="58" spans="1:18">
      <c r="A58" s="81" t="s">
        <v>0</v>
      </c>
      <c r="B58" s="104"/>
      <c r="C58" s="101"/>
      <c r="D58" s="101"/>
      <c r="E58" s="115"/>
      <c r="F58" s="116"/>
      <c r="G58" s="220"/>
      <c r="H58" s="126"/>
      <c r="N58" s="120"/>
    </row>
    <row r="59" spans="1:18">
      <c r="A59" s="114" t="s">
        <v>22</v>
      </c>
      <c r="B59" s="82">
        <f>Recaudo!B60</f>
        <v>0</v>
      </c>
      <c r="C59" s="117">
        <f>Recaudo!C60</f>
        <v>0</v>
      </c>
      <c r="D59" s="137"/>
      <c r="E59" s="235">
        <f>C59+D59</f>
        <v>0</v>
      </c>
      <c r="F59" s="66">
        <f>Recaudo!D60</f>
        <v>0</v>
      </c>
      <c r="G59" s="218">
        <f>Recaudo!E60</f>
        <v>0</v>
      </c>
      <c r="H59" s="133" t="e">
        <f t="shared" si="1"/>
        <v>#N/A</v>
      </c>
      <c r="I59" s="3" t="e">
        <f>((Recaudo!$F$44*J59)+(Recaudo!$G$44*K59))</f>
        <v>#N/A</v>
      </c>
      <c r="J59" s="3"/>
      <c r="K59" s="3"/>
      <c r="L59" s="3"/>
      <c r="M59" s="3">
        <f t="shared" si="4"/>
        <v>0</v>
      </c>
      <c r="N59" s="134" t="str">
        <f>IF('Fondo (Recaudo + Aporte)'!M59+L59=Recaudo!K60,"SÍ","NO")</f>
        <v>SÍ</v>
      </c>
      <c r="O59" s="127"/>
      <c r="R59" s="120"/>
    </row>
    <row r="60" spans="1:18" ht="31.5">
      <c r="A60" s="114" t="s">
        <v>23</v>
      </c>
      <c r="B60" s="82" t="s">
        <v>291</v>
      </c>
      <c r="C60" s="117">
        <f>Recaudo!C61</f>
        <v>0</v>
      </c>
      <c r="D60" s="137"/>
      <c r="E60" s="235">
        <f t="shared" ref="E60:E70" si="8">C60+D60</f>
        <v>0</v>
      </c>
      <c r="F60" s="66">
        <f>Recaudo!D61</f>
        <v>0</v>
      </c>
      <c r="G60" s="218" t="str">
        <f>Recaudo!E61</f>
        <v>FUERA DE RANGO</v>
      </c>
      <c r="H60" s="133" t="e">
        <f t="shared" si="1"/>
        <v>#N/A</v>
      </c>
      <c r="I60" s="3" t="e">
        <f>((Recaudo!$F$59*J60)+(Recaudo!$G$59*K60))</f>
        <v>#N/A</v>
      </c>
      <c r="J60" s="3"/>
      <c r="K60" s="3"/>
      <c r="L60" s="3"/>
      <c r="M60" s="3">
        <f t="shared" si="4"/>
        <v>0</v>
      </c>
      <c r="N60" s="134" t="str">
        <f>IF('Fondo (Recaudo + Aporte)'!M60+L60=Recaudo!K61,"SÍ","NO")</f>
        <v>SÍ</v>
      </c>
      <c r="O60" s="126"/>
    </row>
    <row r="61" spans="1:18" ht="31.5">
      <c r="A61" s="114" t="s">
        <v>24</v>
      </c>
      <c r="B61" s="82">
        <f>Recaudo!B62</f>
        <v>0</v>
      </c>
      <c r="C61" s="117">
        <f>Recaudo!C62</f>
        <v>0</v>
      </c>
      <c r="D61" s="137"/>
      <c r="E61" s="235">
        <f t="shared" si="8"/>
        <v>0</v>
      </c>
      <c r="F61" s="66">
        <f>Recaudo!D62</f>
        <v>0</v>
      </c>
      <c r="G61" s="218" t="str">
        <f>Recaudo!E62</f>
        <v>FUERA DE RANGO</v>
      </c>
      <c r="H61" s="133" t="e">
        <f t="shared" si="1"/>
        <v>#N/A</v>
      </c>
      <c r="I61" s="3" t="e">
        <f>((Recaudo!$F$59*J61)+(Recaudo!$G$59*K61))</f>
        <v>#N/A</v>
      </c>
      <c r="J61" s="3"/>
      <c r="K61" s="3"/>
      <c r="L61" s="3"/>
      <c r="M61" s="3">
        <f t="shared" ref="M61:M66" si="9">K61+J61</f>
        <v>0</v>
      </c>
      <c r="N61" s="134" t="str">
        <f>IF('Fondo (Recaudo + Aporte)'!M61+L61=Recaudo!K62,"SÍ","NO")</f>
        <v>SÍ</v>
      </c>
      <c r="O61" s="126"/>
    </row>
    <row r="62" spans="1:18" ht="31.5">
      <c r="A62" s="3" t="s">
        <v>25</v>
      </c>
      <c r="B62" s="82">
        <f>Recaudo!B63</f>
        <v>0</v>
      </c>
      <c r="C62" s="117">
        <f>Recaudo!C63</f>
        <v>0</v>
      </c>
      <c r="D62" s="137"/>
      <c r="E62" s="235">
        <f t="shared" si="8"/>
        <v>0</v>
      </c>
      <c r="F62" s="66">
        <f>Recaudo!D63</f>
        <v>0</v>
      </c>
      <c r="G62" s="218" t="str">
        <f>Recaudo!E63</f>
        <v>FUERA DE RANGO</v>
      </c>
      <c r="H62" s="133" t="e">
        <f t="shared" si="1"/>
        <v>#N/A</v>
      </c>
      <c r="I62" s="3" t="e">
        <f>((Recaudo!$F$59*J62)+(Recaudo!$G$59*K62))</f>
        <v>#N/A</v>
      </c>
      <c r="J62" s="3"/>
      <c r="K62" s="3"/>
      <c r="L62" s="3"/>
      <c r="M62" s="3">
        <f t="shared" si="9"/>
        <v>0</v>
      </c>
      <c r="N62" s="134" t="str">
        <f>IF('Fondo (Recaudo + Aporte)'!M62+L62=Recaudo!K63,"SÍ","NO")</f>
        <v>SÍ</v>
      </c>
      <c r="O62" s="126" t="s">
        <v>354</v>
      </c>
    </row>
    <row r="63" spans="1:18" ht="31.5">
      <c r="A63" s="3" t="s">
        <v>14</v>
      </c>
      <c r="B63" s="82">
        <f>Recaudo!B64</f>
        <v>0</v>
      </c>
      <c r="C63" s="117">
        <f>Recaudo!C64</f>
        <v>0</v>
      </c>
      <c r="D63" s="137"/>
      <c r="E63" s="235">
        <f t="shared" si="8"/>
        <v>0</v>
      </c>
      <c r="F63" s="66">
        <f>Recaudo!D64</f>
        <v>0</v>
      </c>
      <c r="G63" s="218" t="str">
        <f>Recaudo!E64</f>
        <v>FUERA DE RANGO</v>
      </c>
      <c r="H63" s="133" t="e">
        <f t="shared" si="1"/>
        <v>#N/A</v>
      </c>
      <c r="I63" s="3" t="e">
        <f>((Recaudo!$F$59*J63)+(Recaudo!$G$59*K63))</f>
        <v>#N/A</v>
      </c>
      <c r="J63" s="3"/>
      <c r="K63" s="3"/>
      <c r="L63" s="3"/>
      <c r="M63" s="3">
        <f t="shared" si="9"/>
        <v>0</v>
      </c>
      <c r="N63" s="134" t="str">
        <f>IF('Fondo (Recaudo + Aporte)'!M63+L63=Recaudo!K64,"SÍ","NO")</f>
        <v>SÍ</v>
      </c>
      <c r="O63" s="126" t="s">
        <v>354</v>
      </c>
    </row>
    <row r="64" spans="1:18" ht="31.5">
      <c r="A64" s="3" t="s">
        <v>15</v>
      </c>
      <c r="B64" s="82">
        <f>Recaudo!B65</f>
        <v>0</v>
      </c>
      <c r="C64" s="117">
        <f>Recaudo!C65</f>
        <v>0</v>
      </c>
      <c r="D64" s="137"/>
      <c r="E64" s="235">
        <f t="shared" si="8"/>
        <v>0</v>
      </c>
      <c r="F64" s="66">
        <f>Recaudo!D65</f>
        <v>0</v>
      </c>
      <c r="G64" s="218" t="str">
        <f>Recaudo!E65</f>
        <v>FUERA DE RANGO</v>
      </c>
      <c r="H64" s="133" t="e">
        <f t="shared" si="1"/>
        <v>#N/A</v>
      </c>
      <c r="I64" s="3" t="e">
        <f>((Recaudo!$F$59*J64)+(Recaudo!$G$59*K64))</f>
        <v>#N/A</v>
      </c>
      <c r="J64" s="3"/>
      <c r="K64" s="3"/>
      <c r="L64" s="3"/>
      <c r="M64" s="3">
        <f>K64+J64</f>
        <v>0</v>
      </c>
      <c r="N64" s="134" t="str">
        <f>IF('Fondo (Recaudo + Aporte)'!M64+L64=Recaudo!K65,"SÍ","NO")</f>
        <v>SÍ</v>
      </c>
      <c r="O64" s="126"/>
    </row>
    <row r="65" spans="1:18" ht="31.5">
      <c r="A65" s="3" t="s">
        <v>16</v>
      </c>
      <c r="B65" s="82">
        <f>Recaudo!B66</f>
        <v>0</v>
      </c>
      <c r="C65" s="117">
        <f>Recaudo!C66</f>
        <v>0</v>
      </c>
      <c r="D65" s="137"/>
      <c r="E65" s="235">
        <f t="shared" si="8"/>
        <v>0</v>
      </c>
      <c r="F65" s="66">
        <f>Recaudo!D66</f>
        <v>0</v>
      </c>
      <c r="G65" s="218" t="str">
        <f>Recaudo!E66</f>
        <v>FUERA DE RANGO</v>
      </c>
      <c r="H65" s="133" t="e">
        <f t="shared" si="1"/>
        <v>#N/A</v>
      </c>
      <c r="I65" s="3" t="e">
        <f>((Recaudo!$F$59*J65)+(Recaudo!$G$59*K65))</f>
        <v>#N/A</v>
      </c>
      <c r="J65" s="3"/>
      <c r="K65" s="3"/>
      <c r="L65" s="3"/>
      <c r="M65" s="3">
        <f t="shared" si="9"/>
        <v>0</v>
      </c>
      <c r="N65" s="134" t="str">
        <f>IF('Fondo (Recaudo + Aporte)'!M65+L65=Recaudo!K66,"SÍ","NO")</f>
        <v>SÍ</v>
      </c>
      <c r="O65" s="126"/>
    </row>
    <row r="66" spans="1:18" ht="31.5">
      <c r="A66" s="3" t="s">
        <v>17</v>
      </c>
      <c r="B66" s="82">
        <f>Recaudo!B67</f>
        <v>0</v>
      </c>
      <c r="C66" s="117">
        <f>Recaudo!C67</f>
        <v>0</v>
      </c>
      <c r="D66" s="137"/>
      <c r="E66" s="235">
        <f t="shared" si="8"/>
        <v>0</v>
      </c>
      <c r="F66" s="66">
        <f>Recaudo!D67</f>
        <v>0</v>
      </c>
      <c r="G66" s="218" t="str">
        <f>Recaudo!E67</f>
        <v>FUERA DE RANGO</v>
      </c>
      <c r="H66" s="133" t="e">
        <f t="shared" si="1"/>
        <v>#N/A</v>
      </c>
      <c r="I66" s="3" t="e">
        <f>((Recaudo!$F$59*J66)+(Recaudo!$G$59*K66))</f>
        <v>#N/A</v>
      </c>
      <c r="J66" s="3"/>
      <c r="K66" s="3"/>
      <c r="L66" s="3"/>
      <c r="M66" s="3">
        <f t="shared" si="9"/>
        <v>0</v>
      </c>
      <c r="N66" s="134" t="str">
        <f>IF('Fondo (Recaudo + Aporte)'!M66+L66=Recaudo!K67,"SÍ","NO")</f>
        <v>SÍ</v>
      </c>
      <c r="O66" s="126"/>
    </row>
    <row r="67" spans="1:18" ht="31.5">
      <c r="A67" s="3" t="s">
        <v>45</v>
      </c>
      <c r="B67" s="82">
        <f>Recaudo!B68</f>
        <v>0</v>
      </c>
      <c r="C67" s="117">
        <f>Recaudo!C68</f>
        <v>0</v>
      </c>
      <c r="D67" s="137"/>
      <c r="E67" s="235">
        <f t="shared" si="8"/>
        <v>0</v>
      </c>
      <c r="F67" s="66">
        <f>Recaudo!D68</f>
        <v>0</v>
      </c>
      <c r="G67" s="218" t="str">
        <f>Recaudo!E68</f>
        <v>FUERA DE RANGO</v>
      </c>
      <c r="H67" s="133" t="e">
        <f t="shared" ref="H67:H100" si="10">IF(D67&lt;I67,D67-I67,"NO")</f>
        <v>#N/A</v>
      </c>
      <c r="I67" s="3" t="e">
        <f>((Recaudo!$F$59*J67)+(Recaudo!$G$59*K67))</f>
        <v>#N/A</v>
      </c>
      <c r="J67" s="3"/>
      <c r="K67" s="3"/>
      <c r="L67" s="3"/>
      <c r="M67" s="3">
        <f t="shared" si="4"/>
        <v>0</v>
      </c>
      <c r="N67" s="134" t="str">
        <f>IF('Fondo (Recaudo + Aporte)'!M67+L67=Recaudo!K68,"SÍ","NO")</f>
        <v>SÍ</v>
      </c>
      <c r="O67" s="126"/>
    </row>
    <row r="68" spans="1:18" ht="31.5">
      <c r="A68" s="3" t="s">
        <v>19</v>
      </c>
      <c r="B68" s="82">
        <f>Recaudo!B69</f>
        <v>0</v>
      </c>
      <c r="C68" s="117">
        <f>Recaudo!C69</f>
        <v>0</v>
      </c>
      <c r="D68" s="137"/>
      <c r="E68" s="235">
        <f t="shared" si="8"/>
        <v>0</v>
      </c>
      <c r="F68" s="66">
        <f>Recaudo!D69</f>
        <v>0</v>
      </c>
      <c r="G68" s="218" t="str">
        <f>Recaudo!E69</f>
        <v>FUERA DE RANGO</v>
      </c>
      <c r="H68" s="133" t="e">
        <f t="shared" si="10"/>
        <v>#N/A</v>
      </c>
      <c r="I68" s="3" t="e">
        <f>((Recaudo!$F$59*J68)+(Recaudo!$G$59*K68))</f>
        <v>#N/A</v>
      </c>
      <c r="J68" s="3"/>
      <c r="K68" s="3"/>
      <c r="L68" s="3"/>
      <c r="M68" s="3">
        <f t="shared" si="4"/>
        <v>0</v>
      </c>
      <c r="N68" s="134" t="str">
        <f>IF('Fondo (Recaudo + Aporte)'!M68+L68=Recaudo!K69,"SÍ","NO")</f>
        <v>SÍ</v>
      </c>
      <c r="O68" s="126"/>
    </row>
    <row r="69" spans="1:18" ht="31.5">
      <c r="A69" s="3" t="s">
        <v>20</v>
      </c>
      <c r="B69" s="82">
        <f>Recaudo!B70</f>
        <v>0</v>
      </c>
      <c r="C69" s="117">
        <f>Recaudo!C70</f>
        <v>0</v>
      </c>
      <c r="D69" s="137"/>
      <c r="E69" s="235">
        <f t="shared" si="8"/>
        <v>0</v>
      </c>
      <c r="F69" s="66">
        <f>Recaudo!D70</f>
        <v>0</v>
      </c>
      <c r="G69" s="218" t="str">
        <f>Recaudo!E70</f>
        <v>FUERA DE RANGO</v>
      </c>
      <c r="H69" s="133" t="e">
        <f t="shared" si="10"/>
        <v>#N/A</v>
      </c>
      <c r="I69" s="3" t="e">
        <f>((Recaudo!$F$59*J69)+(Recaudo!$G$59*K69))</f>
        <v>#N/A</v>
      </c>
      <c r="J69" s="3"/>
      <c r="K69" s="3"/>
      <c r="L69" s="3"/>
      <c r="M69" s="3">
        <f t="shared" si="4"/>
        <v>0</v>
      </c>
      <c r="N69" s="134" t="str">
        <f>IF('Fondo (Recaudo + Aporte)'!M69+L69=Recaudo!K70,"SÍ","NO")</f>
        <v>SÍ</v>
      </c>
      <c r="O69" s="126"/>
      <c r="R69" s="120"/>
    </row>
    <row r="70" spans="1:18" ht="31.5">
      <c r="A70" s="3" t="s">
        <v>21</v>
      </c>
      <c r="B70" s="82">
        <f>Recaudo!B71</f>
        <v>0</v>
      </c>
      <c r="C70" s="117">
        <f>Recaudo!C71</f>
        <v>0</v>
      </c>
      <c r="D70" s="137"/>
      <c r="E70" s="235">
        <f t="shared" si="8"/>
        <v>0</v>
      </c>
      <c r="F70" s="66">
        <f>Recaudo!D71</f>
        <v>0</v>
      </c>
      <c r="G70" s="218" t="str">
        <f>Recaudo!E71</f>
        <v>FUERA DE RANGO</v>
      </c>
      <c r="H70" s="133" t="e">
        <f t="shared" si="10"/>
        <v>#N/A</v>
      </c>
      <c r="I70" s="3" t="e">
        <f>((Recaudo!$F$59*J70)+(Recaudo!$G$59*K70))</f>
        <v>#N/A</v>
      </c>
      <c r="J70" s="3"/>
      <c r="K70" s="3"/>
      <c r="L70" s="3"/>
      <c r="M70" s="3">
        <f t="shared" si="4"/>
        <v>0</v>
      </c>
      <c r="N70" s="134" t="str">
        <f>IF('Fondo (Recaudo + Aporte)'!M70+L70=Recaudo!K71,"SÍ","NO")</f>
        <v>SÍ</v>
      </c>
      <c r="O70" s="126"/>
    </row>
    <row r="71" spans="1:18">
      <c r="H71" s="126"/>
      <c r="N71" s="120"/>
      <c r="O71" s="127"/>
    </row>
    <row r="72" spans="1:18">
      <c r="A72" s="113" t="s">
        <v>67</v>
      </c>
      <c r="B72" s="82" t="s">
        <v>1</v>
      </c>
      <c r="C72" s="117" t="s">
        <v>66</v>
      </c>
      <c r="D72" s="117" t="s">
        <v>68</v>
      </c>
      <c r="E72" s="118" t="s">
        <v>2</v>
      </c>
      <c r="F72" s="119" t="s">
        <v>63</v>
      </c>
      <c r="G72" s="218"/>
      <c r="H72" s="126"/>
      <c r="N72" s="120"/>
    </row>
    <row r="73" spans="1:18">
      <c r="A73" s="81" t="s">
        <v>0</v>
      </c>
      <c r="B73" s="104"/>
      <c r="C73" s="101"/>
      <c r="D73" s="101"/>
      <c r="E73" s="115"/>
      <c r="F73" s="116"/>
      <c r="G73" s="220"/>
      <c r="H73" s="126"/>
      <c r="N73" s="120"/>
    </row>
    <row r="74" spans="1:18">
      <c r="A74" s="114" t="s">
        <v>22</v>
      </c>
      <c r="B74" s="82">
        <f>Recaudo!B76</f>
        <v>0</v>
      </c>
      <c r="C74" s="117">
        <f>Recaudo!C75</f>
        <v>0</v>
      </c>
      <c r="D74" s="137"/>
      <c r="E74" s="235">
        <f>C74+D74</f>
        <v>0</v>
      </c>
      <c r="F74" s="66">
        <f>Recaudo!D75</f>
        <v>0</v>
      </c>
      <c r="G74" s="218">
        <f>Recaudo!E75</f>
        <v>0</v>
      </c>
      <c r="H74" s="133" t="str">
        <f>IF(D74&lt;I74,D74-I74,"NO")</f>
        <v>NO</v>
      </c>
      <c r="I74" s="3">
        <f>((6000*J74)+((6000/2)*K74))</f>
        <v>0</v>
      </c>
      <c r="J74" s="3"/>
      <c r="K74" s="3"/>
      <c r="L74" s="3"/>
      <c r="M74" s="3">
        <f t="shared" si="4"/>
        <v>0</v>
      </c>
      <c r="N74" s="134" t="str">
        <f>IF('Fondo (Recaudo + Aporte)'!M74+L74=Recaudo!K75,"SÍ","NO")</f>
        <v>SÍ</v>
      </c>
      <c r="O74" s="126"/>
    </row>
    <row r="75" spans="1:18">
      <c r="A75" s="114" t="s">
        <v>23</v>
      </c>
      <c r="B75" s="82">
        <f>Recaudo!B76</f>
        <v>0</v>
      </c>
      <c r="C75" s="117">
        <f>Recaudo!C76</f>
        <v>0</v>
      </c>
      <c r="D75" s="137"/>
      <c r="E75" s="235">
        <f t="shared" ref="E75:E85" si="11">C75+D75</f>
        <v>0</v>
      </c>
      <c r="F75" s="66">
        <f>Recaudo!D76</f>
        <v>0</v>
      </c>
      <c r="G75" s="218">
        <f>Recaudo!E76</f>
        <v>0</v>
      </c>
      <c r="H75" s="133" t="e">
        <f t="shared" si="10"/>
        <v>#N/A</v>
      </c>
      <c r="I75" s="3" t="e">
        <f>((Recaudo!$F$74*J75)+(Recaudo!$G$74*K75))</f>
        <v>#N/A</v>
      </c>
      <c r="J75" s="3"/>
      <c r="K75" s="3"/>
      <c r="L75" s="3"/>
      <c r="M75" s="3">
        <f t="shared" si="4"/>
        <v>0</v>
      </c>
      <c r="N75" s="134" t="str">
        <f>IF('Fondo (Recaudo + Aporte)'!M75+L75=Recaudo!K76,"SÍ","NO")</f>
        <v>SÍ</v>
      </c>
      <c r="O75" s="126"/>
    </row>
    <row r="76" spans="1:18" ht="31.5">
      <c r="A76" s="114" t="s">
        <v>24</v>
      </c>
      <c r="B76" s="82">
        <f>Recaudo!B77</f>
        <v>0</v>
      </c>
      <c r="C76" s="117">
        <f>Recaudo!C77</f>
        <v>0</v>
      </c>
      <c r="D76" s="137"/>
      <c r="E76" s="235">
        <f>C76+D76</f>
        <v>0</v>
      </c>
      <c r="F76" s="66">
        <f>Recaudo!D77</f>
        <v>0</v>
      </c>
      <c r="G76" s="218" t="str">
        <f>Recaudo!E77</f>
        <v>FUERA DE RANGO</v>
      </c>
      <c r="H76" s="133" t="e">
        <f t="shared" si="10"/>
        <v>#N/A</v>
      </c>
      <c r="I76" s="3" t="e">
        <f>((Recaudo!$F$74*J76)+(Recaudo!$G$74*K76))</f>
        <v>#N/A</v>
      </c>
      <c r="J76" s="3"/>
      <c r="K76" s="3"/>
      <c r="L76" s="3"/>
      <c r="M76" s="3">
        <f t="shared" si="4"/>
        <v>0</v>
      </c>
      <c r="N76" s="134" t="str">
        <f>IF('Fondo (Recaudo + Aporte)'!M76+L76=Recaudo!K77,"SÍ","NO")</f>
        <v>SÍ</v>
      </c>
      <c r="O76" s="126"/>
    </row>
    <row r="77" spans="1:18" ht="31.5">
      <c r="A77" s="114" t="s">
        <v>25</v>
      </c>
      <c r="B77" s="82">
        <f>Recaudo!B78</f>
        <v>0</v>
      </c>
      <c r="C77" s="117">
        <f>Recaudo!C78</f>
        <v>0</v>
      </c>
      <c r="D77" s="137"/>
      <c r="E77" s="235">
        <f t="shared" si="11"/>
        <v>0</v>
      </c>
      <c r="F77" s="66">
        <f>Recaudo!D78</f>
        <v>0</v>
      </c>
      <c r="G77" s="218" t="str">
        <f>Recaudo!E78</f>
        <v>FUERA DE RANGO</v>
      </c>
      <c r="H77" s="133" t="e">
        <f t="shared" si="10"/>
        <v>#N/A</v>
      </c>
      <c r="I77" s="3" t="e">
        <f>((Recaudo!$F$74*J77)+(Recaudo!$G$74*K77))</f>
        <v>#N/A</v>
      </c>
      <c r="J77" s="3"/>
      <c r="K77" s="3"/>
      <c r="L77" s="3"/>
      <c r="M77" s="3">
        <f>K77+J77</f>
        <v>0</v>
      </c>
      <c r="N77" s="134" t="str">
        <f>IF('Fondo (Recaudo + Aporte)'!M77+L77=Recaudo!K78,"SÍ","NO")</f>
        <v>SÍ</v>
      </c>
      <c r="O77" s="126"/>
    </row>
    <row r="78" spans="1:18" ht="31.5">
      <c r="A78" s="114" t="s">
        <v>14</v>
      </c>
      <c r="B78" s="82">
        <f>Recaudo!B79</f>
        <v>0</v>
      </c>
      <c r="C78" s="117">
        <f>Recaudo!C79</f>
        <v>0</v>
      </c>
      <c r="D78" s="137"/>
      <c r="E78" s="235">
        <f t="shared" si="11"/>
        <v>0</v>
      </c>
      <c r="F78" s="66">
        <f>Recaudo!D79</f>
        <v>0</v>
      </c>
      <c r="G78" s="218" t="str">
        <f>Recaudo!E79</f>
        <v>FUERA DE RANGO</v>
      </c>
      <c r="H78" s="133" t="e">
        <f t="shared" si="10"/>
        <v>#N/A</v>
      </c>
      <c r="I78" s="3" t="e">
        <f>((Recaudo!$F$74*J78)+(Recaudo!$G$74*K78))</f>
        <v>#N/A</v>
      </c>
      <c r="J78" s="3"/>
      <c r="K78" s="3"/>
      <c r="L78" s="3"/>
      <c r="M78" s="3">
        <f>K78+J78</f>
        <v>0</v>
      </c>
      <c r="N78" s="134" t="str">
        <f>IF('Fondo (Recaudo + Aporte)'!M78+L78=Recaudo!K79,"SÍ","NO")</f>
        <v>SÍ</v>
      </c>
      <c r="O78" s="126" t="s">
        <v>356</v>
      </c>
    </row>
    <row r="79" spans="1:18" ht="31.5">
      <c r="A79" s="114" t="s">
        <v>15</v>
      </c>
      <c r="B79" s="82">
        <f>Recaudo!B80</f>
        <v>0</v>
      </c>
      <c r="C79" s="117">
        <f>Recaudo!C80</f>
        <v>0</v>
      </c>
      <c r="D79" s="137"/>
      <c r="E79" s="235">
        <f t="shared" si="11"/>
        <v>0</v>
      </c>
      <c r="F79" s="66">
        <f>Recaudo!D80</f>
        <v>0</v>
      </c>
      <c r="G79" s="218" t="str">
        <f>Recaudo!E80</f>
        <v>FUERA DE RANGO</v>
      </c>
      <c r="H79" s="133" t="e">
        <f t="shared" si="10"/>
        <v>#N/A</v>
      </c>
      <c r="I79" s="3" t="e">
        <f>((Recaudo!$F$74*J79)+(Recaudo!$G$74*K79))</f>
        <v>#N/A</v>
      </c>
      <c r="J79" s="3"/>
      <c r="K79" s="3"/>
      <c r="L79" s="3"/>
      <c r="M79" s="3">
        <f>K79+J79</f>
        <v>0</v>
      </c>
      <c r="N79" s="134" t="str">
        <f>IF('Fondo (Recaudo + Aporte)'!M79+L79=Recaudo!K80,"SÍ","NO")</f>
        <v>SÍ</v>
      </c>
      <c r="O79" s="126"/>
    </row>
    <row r="80" spans="1:18" ht="31.5">
      <c r="A80" s="114" t="s">
        <v>16</v>
      </c>
      <c r="B80" s="82">
        <f>Recaudo!B81</f>
        <v>0</v>
      </c>
      <c r="C80" s="117">
        <f>Recaudo!C81</f>
        <v>0</v>
      </c>
      <c r="D80" s="137"/>
      <c r="E80" s="235">
        <f t="shared" si="11"/>
        <v>0</v>
      </c>
      <c r="F80" s="66">
        <f>Recaudo!D81</f>
        <v>0</v>
      </c>
      <c r="G80" s="218" t="str">
        <f>Recaudo!E81</f>
        <v>FUERA DE RANGO</v>
      </c>
      <c r="H80" s="133" t="e">
        <f t="shared" si="10"/>
        <v>#N/A</v>
      </c>
      <c r="I80" s="3" t="e">
        <f>((Recaudo!$F$74*J80)+(Recaudo!$G$74*K80))</f>
        <v>#N/A</v>
      </c>
      <c r="J80" s="3"/>
      <c r="K80" s="3"/>
      <c r="L80" s="3"/>
      <c r="M80" s="3">
        <f t="shared" ref="M80:M85" si="12">K80+J80</f>
        <v>0</v>
      </c>
      <c r="N80" s="134" t="str">
        <f>IF('Fondo (Recaudo + Aporte)'!M80+L80=Recaudo!K81,"SÍ","NO")</f>
        <v>SÍ</v>
      </c>
      <c r="O80" s="126"/>
    </row>
    <row r="81" spans="1:15" ht="31.5">
      <c r="A81" s="114" t="s">
        <v>17</v>
      </c>
      <c r="B81" s="82">
        <f>Recaudo!B82</f>
        <v>0</v>
      </c>
      <c r="C81" s="117">
        <f>Recaudo!C82</f>
        <v>0</v>
      </c>
      <c r="D81" s="137"/>
      <c r="E81" s="235">
        <f t="shared" si="11"/>
        <v>0</v>
      </c>
      <c r="F81" s="66">
        <f>Recaudo!D82</f>
        <v>0</v>
      </c>
      <c r="G81" s="218" t="str">
        <f>Recaudo!E82</f>
        <v>FUERA DE RANGO</v>
      </c>
      <c r="H81" s="133" t="e">
        <f t="shared" si="10"/>
        <v>#N/A</v>
      </c>
      <c r="I81" s="3" t="e">
        <f>((Recaudo!$F$74*J81)+(Recaudo!$G$74*K81))</f>
        <v>#N/A</v>
      </c>
      <c r="J81" s="3"/>
      <c r="K81" s="3"/>
      <c r="L81" s="3"/>
      <c r="M81" s="3">
        <f t="shared" si="12"/>
        <v>0</v>
      </c>
      <c r="N81" s="134" t="str">
        <f>IF('Fondo (Recaudo + Aporte)'!M81+L81=Recaudo!K82,"SÍ","NO")</f>
        <v>SÍ</v>
      </c>
      <c r="O81" s="126"/>
    </row>
    <row r="82" spans="1:15" ht="31.5">
      <c r="A82" s="114" t="s">
        <v>18</v>
      </c>
      <c r="B82" s="82">
        <f>Recaudo!B83</f>
        <v>0</v>
      </c>
      <c r="C82" s="117">
        <f>Recaudo!C83</f>
        <v>0</v>
      </c>
      <c r="D82" s="137"/>
      <c r="E82" s="235">
        <f t="shared" si="11"/>
        <v>0</v>
      </c>
      <c r="F82" s="66">
        <f>Recaudo!D83</f>
        <v>0</v>
      </c>
      <c r="G82" s="218" t="str">
        <f>Recaudo!E83</f>
        <v>FUERA DE RANGO</v>
      </c>
      <c r="H82" s="133" t="e">
        <f t="shared" si="10"/>
        <v>#N/A</v>
      </c>
      <c r="I82" s="3" t="e">
        <f>((Recaudo!$F$74*J82)+(Recaudo!$G$74*K82))</f>
        <v>#N/A</v>
      </c>
      <c r="J82" s="3"/>
      <c r="K82" s="3"/>
      <c r="L82" s="3"/>
      <c r="M82" s="3">
        <f t="shared" si="12"/>
        <v>0</v>
      </c>
      <c r="N82" s="134" t="str">
        <f>IF('Fondo (Recaudo + Aporte)'!M82+L82=Recaudo!K83,"SÍ","NO")</f>
        <v>SÍ</v>
      </c>
      <c r="O82" s="126"/>
    </row>
    <row r="83" spans="1:15" ht="31.5">
      <c r="A83" s="114" t="s">
        <v>19</v>
      </c>
      <c r="B83" s="82">
        <f>Recaudo!B84</f>
        <v>0</v>
      </c>
      <c r="C83" s="117">
        <f>Recaudo!C84</f>
        <v>0</v>
      </c>
      <c r="D83" s="137"/>
      <c r="E83" s="235">
        <f t="shared" si="11"/>
        <v>0</v>
      </c>
      <c r="F83" s="66">
        <f>Recaudo!D84</f>
        <v>0</v>
      </c>
      <c r="G83" s="218" t="str">
        <f>Recaudo!E84</f>
        <v>FUERA DE RANGO</v>
      </c>
      <c r="H83" s="133" t="e">
        <f t="shared" si="10"/>
        <v>#N/A</v>
      </c>
      <c r="I83" s="3" t="e">
        <f>((Recaudo!$F$74*J83)+(Recaudo!$G$74*K83))</f>
        <v>#N/A</v>
      </c>
      <c r="J83" s="3"/>
      <c r="K83" s="3"/>
      <c r="L83" s="3"/>
      <c r="M83" s="3">
        <f t="shared" si="12"/>
        <v>0</v>
      </c>
      <c r="N83" s="134" t="str">
        <f>IF('Fondo (Recaudo + Aporte)'!M83+L83=Recaudo!K84,"SÍ","NO")</f>
        <v>SÍ</v>
      </c>
      <c r="O83" s="126"/>
    </row>
    <row r="84" spans="1:15" ht="31.5">
      <c r="A84" s="114" t="s">
        <v>20</v>
      </c>
      <c r="B84" s="82">
        <f>Recaudo!B85</f>
        <v>0</v>
      </c>
      <c r="C84" s="117">
        <f>Recaudo!C85</f>
        <v>0</v>
      </c>
      <c r="D84" s="137"/>
      <c r="E84" s="235">
        <f t="shared" si="11"/>
        <v>0</v>
      </c>
      <c r="F84" s="66">
        <f>Recaudo!D85</f>
        <v>0</v>
      </c>
      <c r="G84" s="218" t="str">
        <f>Recaudo!E85</f>
        <v>FUERA DE RANGO</v>
      </c>
      <c r="H84" s="133" t="e">
        <f t="shared" si="10"/>
        <v>#N/A</v>
      </c>
      <c r="I84" s="3" t="e">
        <f>((Recaudo!$F$74*J84)+(Recaudo!$G$74*K84))</f>
        <v>#N/A</v>
      </c>
      <c r="J84" s="3"/>
      <c r="K84" s="3"/>
      <c r="L84" s="3"/>
      <c r="M84" s="3">
        <f t="shared" si="12"/>
        <v>0</v>
      </c>
      <c r="N84" s="134" t="str">
        <f>IF('Fondo (Recaudo + Aporte)'!M84+L84=Recaudo!K85,"SÍ","NO")</f>
        <v>SÍ</v>
      </c>
      <c r="O84" s="126"/>
    </row>
    <row r="85" spans="1:15" ht="31.5">
      <c r="A85" s="114" t="s">
        <v>21</v>
      </c>
      <c r="B85" s="82">
        <f>Recaudo!B86</f>
        <v>0</v>
      </c>
      <c r="C85" s="117">
        <f>Recaudo!C86</f>
        <v>0</v>
      </c>
      <c r="D85" s="137"/>
      <c r="E85" s="235">
        <f t="shared" si="11"/>
        <v>0</v>
      </c>
      <c r="F85" s="66">
        <f>Recaudo!D86</f>
        <v>0</v>
      </c>
      <c r="G85" s="218" t="str">
        <f>Recaudo!E86</f>
        <v>FUERA DE RANGO</v>
      </c>
      <c r="H85" s="133" t="e">
        <f t="shared" si="10"/>
        <v>#N/A</v>
      </c>
      <c r="I85" s="3" t="e">
        <f>((Recaudo!$F$74*J85)+(Recaudo!$G$74*K85))</f>
        <v>#N/A</v>
      </c>
      <c r="J85" s="3"/>
      <c r="K85" s="3"/>
      <c r="L85" s="3"/>
      <c r="M85" s="3">
        <f t="shared" si="12"/>
        <v>0</v>
      </c>
      <c r="N85" s="134" t="str">
        <f>IF('Fondo (Recaudo + Aporte)'!M85+L85=Recaudo!K86,"SÍ","NO")</f>
        <v>SÍ</v>
      </c>
      <c r="O85" s="126"/>
    </row>
    <row r="86" spans="1:15">
      <c r="H86" s="126"/>
      <c r="N86" s="120"/>
    </row>
    <row r="87" spans="1:15">
      <c r="A87" s="113" t="s">
        <v>306</v>
      </c>
      <c r="B87" s="82" t="s">
        <v>1</v>
      </c>
      <c r="C87" s="117" t="s">
        <v>66</v>
      </c>
      <c r="D87" s="117" t="s">
        <v>68</v>
      </c>
      <c r="E87" s="118" t="s">
        <v>2</v>
      </c>
      <c r="F87" s="119" t="s">
        <v>63</v>
      </c>
      <c r="G87" s="218"/>
      <c r="H87" s="126"/>
      <c r="N87" s="120"/>
    </row>
    <row r="88" spans="1:15">
      <c r="A88" s="81" t="s">
        <v>0</v>
      </c>
      <c r="B88" s="104"/>
      <c r="C88" s="101"/>
      <c r="D88" s="101"/>
      <c r="E88" s="115"/>
      <c r="F88" s="116"/>
      <c r="G88" s="220"/>
      <c r="H88" s="126"/>
      <c r="N88" s="120"/>
    </row>
    <row r="89" spans="1:15">
      <c r="A89" s="114" t="s">
        <v>22</v>
      </c>
      <c r="B89" s="82">
        <f>Recaudo!B91</f>
        <v>0</v>
      </c>
      <c r="C89" s="117">
        <f>Recaudo!C90</f>
        <v>0</v>
      </c>
      <c r="D89" s="137"/>
      <c r="E89" s="235">
        <f>C89+D89</f>
        <v>0</v>
      </c>
      <c r="F89" s="66">
        <f>Recaudo!D90</f>
        <v>0</v>
      </c>
      <c r="G89" s="218">
        <f>Recaudo!E90</f>
        <v>0</v>
      </c>
      <c r="H89" s="133" t="str">
        <f>IF(D89&lt;I89,D89-I89,"NO")</f>
        <v>NO</v>
      </c>
      <c r="I89" s="3">
        <f>((12200*J89)+((12200/2)*K89))</f>
        <v>0</v>
      </c>
      <c r="J89" s="3"/>
      <c r="K89" s="3"/>
      <c r="L89" s="3"/>
      <c r="M89" s="3">
        <f t="shared" ref="M89:M100" si="13">K89+J89</f>
        <v>0</v>
      </c>
      <c r="N89" s="134" t="str">
        <f>IF('Fondo (Recaudo + Aporte)'!M89+L89=Recaudo!K90,"SÍ","NO")</f>
        <v>SÍ</v>
      </c>
      <c r="O89" s="126"/>
    </row>
    <row r="90" spans="1:15" ht="31.5">
      <c r="A90" s="114" t="s">
        <v>23</v>
      </c>
      <c r="B90" s="82">
        <f>Recaudo!B91</f>
        <v>0</v>
      </c>
      <c r="C90" s="117">
        <f>Recaudo!C91</f>
        <v>0</v>
      </c>
      <c r="D90" s="137"/>
      <c r="E90" s="235">
        <f t="shared" ref="E90:E100" si="14">C90+D90</f>
        <v>0</v>
      </c>
      <c r="F90" s="66">
        <f>Recaudo!D91</f>
        <v>0</v>
      </c>
      <c r="G90" s="218" t="str">
        <f>Recaudo!E91</f>
        <v>FUERA DE RANGO</v>
      </c>
      <c r="H90" s="133" t="e">
        <f>IF(D90&lt;I90,D90-I90,"NO")</f>
        <v>#N/A</v>
      </c>
      <c r="I90" s="3" t="e">
        <f>((Recaudo!$F$89*J90)+(Recaudo!$G$89*K90))</f>
        <v>#N/A</v>
      </c>
      <c r="J90" s="3"/>
      <c r="K90" s="3"/>
      <c r="L90" s="3"/>
      <c r="M90" s="3">
        <f t="shared" si="13"/>
        <v>0</v>
      </c>
      <c r="N90" s="134" t="str">
        <f>IF('Fondo (Recaudo + Aporte)'!M90+L90=Recaudo!K91,"SÍ","NO")</f>
        <v>SÍ</v>
      </c>
      <c r="O90" s="126"/>
    </row>
    <row r="91" spans="1:15" ht="31.5">
      <c r="A91" s="114" t="s">
        <v>24</v>
      </c>
      <c r="B91" s="82">
        <f>Recaudo!B92</f>
        <v>0</v>
      </c>
      <c r="C91" s="117">
        <f>Recaudo!C92</f>
        <v>0</v>
      </c>
      <c r="D91" s="137"/>
      <c r="E91" s="235">
        <f t="shared" si="14"/>
        <v>0</v>
      </c>
      <c r="F91" s="66">
        <f>Recaudo!D92</f>
        <v>0</v>
      </c>
      <c r="G91" s="218" t="str">
        <f>Recaudo!E92</f>
        <v>FUERA DE RANGO</v>
      </c>
      <c r="H91" s="133" t="e">
        <f t="shared" si="10"/>
        <v>#N/A</v>
      </c>
      <c r="I91" s="3" t="e">
        <f>((Recaudo!$F$89*J91)+(Recaudo!$G$89*K91))</f>
        <v>#N/A</v>
      </c>
      <c r="J91" s="3"/>
      <c r="K91" s="3"/>
      <c r="L91" s="3"/>
      <c r="M91" s="3">
        <f t="shared" si="13"/>
        <v>0</v>
      </c>
      <c r="N91" s="134" t="str">
        <f>IF('Fondo (Recaudo + Aporte)'!M91+L91=Recaudo!K92,"SÍ","NO")</f>
        <v>SÍ</v>
      </c>
      <c r="O91" s="126"/>
    </row>
    <row r="92" spans="1:15" ht="31.5">
      <c r="A92" s="114" t="s">
        <v>25</v>
      </c>
      <c r="B92" s="82">
        <f>Recaudo!B93</f>
        <v>0</v>
      </c>
      <c r="C92" s="117">
        <f>Recaudo!C93</f>
        <v>0</v>
      </c>
      <c r="D92" s="137"/>
      <c r="E92" s="235">
        <f t="shared" si="14"/>
        <v>0</v>
      </c>
      <c r="F92" s="66">
        <f>Recaudo!D93</f>
        <v>0</v>
      </c>
      <c r="G92" s="218" t="str">
        <f>Recaudo!E93</f>
        <v>FUERA DE RANGO</v>
      </c>
      <c r="H92" s="133" t="e">
        <f t="shared" si="10"/>
        <v>#N/A</v>
      </c>
      <c r="I92" s="3" t="e">
        <f>((Recaudo!$F$89*J92)+(Recaudo!$G$89*K92))</f>
        <v>#N/A</v>
      </c>
      <c r="J92" s="3"/>
      <c r="K92" s="3"/>
      <c r="L92" s="3"/>
      <c r="M92" s="3">
        <f t="shared" si="13"/>
        <v>0</v>
      </c>
      <c r="N92" s="134" t="str">
        <f>IF('Fondo (Recaudo + Aporte)'!M92+L92=Recaudo!K93,"SÍ","NO")</f>
        <v>SÍ</v>
      </c>
      <c r="O92" s="126"/>
    </row>
    <row r="93" spans="1:15" ht="31.5">
      <c r="A93" s="114" t="s">
        <v>14</v>
      </c>
      <c r="B93" s="82">
        <f>Recaudo!B94</f>
        <v>0</v>
      </c>
      <c r="C93" s="117">
        <f>Recaudo!C94</f>
        <v>0</v>
      </c>
      <c r="D93" s="137"/>
      <c r="E93" s="235">
        <f t="shared" si="14"/>
        <v>0</v>
      </c>
      <c r="F93" s="66">
        <f>Recaudo!D94</f>
        <v>0</v>
      </c>
      <c r="G93" s="218" t="str">
        <f>Recaudo!E94</f>
        <v>FUERA DE RANGO</v>
      </c>
      <c r="H93" s="133" t="e">
        <f t="shared" si="10"/>
        <v>#N/A</v>
      </c>
      <c r="I93" s="3" t="e">
        <f>((Recaudo!$F$89*J93)+(Recaudo!$G$89*K93))</f>
        <v>#N/A</v>
      </c>
      <c r="J93" s="3"/>
      <c r="K93" s="3"/>
      <c r="L93" s="3"/>
      <c r="M93" s="3">
        <f>K93+J93</f>
        <v>0</v>
      </c>
      <c r="N93" s="134" t="str">
        <f>IF('Fondo (Recaudo + Aporte)'!M93+L93=Recaudo!K94,"SÍ","NO")</f>
        <v>SÍ</v>
      </c>
      <c r="O93" s="126" t="s">
        <v>357</v>
      </c>
    </row>
    <row r="94" spans="1:15" ht="31.5">
      <c r="A94" s="114" t="s">
        <v>15</v>
      </c>
      <c r="B94" s="82">
        <f>Recaudo!B95</f>
        <v>0</v>
      </c>
      <c r="C94" s="117">
        <f>Recaudo!C95</f>
        <v>0</v>
      </c>
      <c r="D94" s="137"/>
      <c r="E94" s="235">
        <f t="shared" si="14"/>
        <v>0</v>
      </c>
      <c r="F94" s="66">
        <f>Recaudo!D95</f>
        <v>0</v>
      </c>
      <c r="G94" s="218" t="str">
        <f>Recaudo!E95</f>
        <v>FUERA DE RANGO</v>
      </c>
      <c r="H94" s="133" t="e">
        <f t="shared" si="10"/>
        <v>#N/A</v>
      </c>
      <c r="I94" s="3" t="e">
        <f>((Recaudo!$F$89*J94)+(Recaudo!$G$89*K94))</f>
        <v>#N/A</v>
      </c>
      <c r="J94" s="3"/>
      <c r="K94" s="3"/>
      <c r="L94" s="3"/>
      <c r="M94" s="3">
        <f t="shared" si="13"/>
        <v>0</v>
      </c>
      <c r="N94" s="134" t="str">
        <f>IF('Fondo (Recaudo + Aporte)'!M94+L94=Recaudo!K95,"SÍ","NO")</f>
        <v>SÍ</v>
      </c>
      <c r="O94" s="126"/>
    </row>
    <row r="95" spans="1:15" ht="31.5">
      <c r="A95" s="114" t="s">
        <v>16</v>
      </c>
      <c r="B95" s="82">
        <f>Recaudo!B96</f>
        <v>0</v>
      </c>
      <c r="C95" s="117">
        <f>Recaudo!C96</f>
        <v>0</v>
      </c>
      <c r="D95" s="137"/>
      <c r="E95" s="235">
        <f t="shared" si="14"/>
        <v>0</v>
      </c>
      <c r="F95" s="66">
        <f>Recaudo!D96</f>
        <v>0</v>
      </c>
      <c r="G95" s="218" t="str">
        <f>Recaudo!E96</f>
        <v>FUERA DE RANGO</v>
      </c>
      <c r="H95" s="133" t="e">
        <f t="shared" si="10"/>
        <v>#N/A</v>
      </c>
      <c r="I95" s="3" t="e">
        <f>((Recaudo!$F$89*J95)+(Recaudo!$G$89*K95))</f>
        <v>#N/A</v>
      </c>
      <c r="J95" s="3"/>
      <c r="K95" s="3"/>
      <c r="L95" s="3"/>
      <c r="M95" s="3">
        <f t="shared" si="13"/>
        <v>0</v>
      </c>
      <c r="N95" s="134" t="str">
        <f>IF('Fondo (Recaudo + Aporte)'!M95+L95=Recaudo!K96,"SÍ","NO")</f>
        <v>SÍ</v>
      </c>
      <c r="O95" s="126" t="s">
        <v>355</v>
      </c>
    </row>
    <row r="96" spans="1:15" ht="31.5">
      <c r="A96" s="114" t="s">
        <v>17</v>
      </c>
      <c r="B96" s="82">
        <f>Recaudo!B97</f>
        <v>0</v>
      </c>
      <c r="C96" s="117">
        <f>Recaudo!C97</f>
        <v>0</v>
      </c>
      <c r="D96" s="137"/>
      <c r="E96" s="235">
        <f t="shared" si="14"/>
        <v>0</v>
      </c>
      <c r="F96" s="66">
        <f>Recaudo!D97</f>
        <v>0</v>
      </c>
      <c r="G96" s="218" t="str">
        <f>Recaudo!E97</f>
        <v>FUERA DE RANGO</v>
      </c>
      <c r="H96" s="133" t="e">
        <f t="shared" si="10"/>
        <v>#N/A</v>
      </c>
      <c r="I96" s="3" t="e">
        <f>((Recaudo!$F$89*J96)+(Recaudo!$G$89*K96))</f>
        <v>#N/A</v>
      </c>
      <c r="J96" s="3"/>
      <c r="K96" s="3"/>
      <c r="L96" s="3"/>
      <c r="M96" s="3">
        <f t="shared" si="13"/>
        <v>0</v>
      </c>
      <c r="N96" s="134" t="str">
        <f>IF('Fondo (Recaudo + Aporte)'!M96+L96=Recaudo!K97,"SÍ","NO")</f>
        <v>SÍ</v>
      </c>
      <c r="O96" s="126"/>
    </row>
    <row r="97" spans="1:15">
      <c r="A97" s="114" t="s">
        <v>18</v>
      </c>
      <c r="B97" s="82">
        <f>Recaudo!B98</f>
        <v>0</v>
      </c>
      <c r="C97" s="117">
        <f>Recaudo!C98</f>
        <v>0</v>
      </c>
      <c r="D97" s="137"/>
      <c r="E97" s="235">
        <f t="shared" si="14"/>
        <v>0</v>
      </c>
      <c r="F97" s="66">
        <f>Recaudo!D98</f>
        <v>0</v>
      </c>
      <c r="G97" s="218" t="str">
        <f>Recaudo!E98</f>
        <v/>
      </c>
      <c r="H97" s="133" t="e">
        <f t="shared" si="10"/>
        <v>#N/A</v>
      </c>
      <c r="I97" s="3" t="e">
        <f>((Recaudo!$F$89*J97)+(Recaudo!$G$89*K97))</f>
        <v>#N/A</v>
      </c>
      <c r="J97" s="3"/>
      <c r="K97" s="3"/>
      <c r="L97" s="3"/>
      <c r="M97" s="3">
        <f t="shared" si="13"/>
        <v>0</v>
      </c>
      <c r="N97" s="134" t="str">
        <f>IF('Fondo (Recaudo + Aporte)'!M97+L97=Recaudo!K98,"SÍ","NO")</f>
        <v>NO</v>
      </c>
      <c r="O97" s="126"/>
    </row>
    <row r="98" spans="1:15">
      <c r="A98" s="114" t="s">
        <v>19</v>
      </c>
      <c r="B98" s="82">
        <f>Recaudo!B99</f>
        <v>0</v>
      </c>
      <c r="C98" s="117">
        <f>Recaudo!C99</f>
        <v>0</v>
      </c>
      <c r="D98" s="137"/>
      <c r="E98" s="235">
        <f t="shared" si="14"/>
        <v>0</v>
      </c>
      <c r="F98" s="66">
        <f>Recaudo!D99</f>
        <v>0</v>
      </c>
      <c r="G98" s="218" t="str">
        <f>Recaudo!E99</f>
        <v/>
      </c>
      <c r="H98" s="133" t="e">
        <f t="shared" si="10"/>
        <v>#N/A</v>
      </c>
      <c r="I98" s="3" t="e">
        <f>((Recaudo!$F$89*J98)+(Recaudo!$G$89*K98))</f>
        <v>#N/A</v>
      </c>
      <c r="J98" s="3"/>
      <c r="K98" s="3"/>
      <c r="L98" s="3"/>
      <c r="M98" s="3">
        <f t="shared" si="13"/>
        <v>0</v>
      </c>
      <c r="N98" s="134" t="str">
        <f>IF('Fondo (Recaudo + Aporte)'!M98+L98=Recaudo!K99,"SÍ","NO")</f>
        <v>NO</v>
      </c>
      <c r="O98" s="126"/>
    </row>
    <row r="99" spans="1:15">
      <c r="A99" s="114" t="s">
        <v>20</v>
      </c>
      <c r="B99" s="82">
        <f>Recaudo!B100</f>
        <v>0</v>
      </c>
      <c r="C99" s="117">
        <f>Recaudo!C100</f>
        <v>0</v>
      </c>
      <c r="D99" s="137"/>
      <c r="E99" s="235">
        <f t="shared" si="14"/>
        <v>0</v>
      </c>
      <c r="F99" s="66">
        <f>Recaudo!D100</f>
        <v>0</v>
      </c>
      <c r="G99" s="218" t="str">
        <f>Recaudo!E100</f>
        <v/>
      </c>
      <c r="H99" s="133" t="e">
        <f t="shared" si="10"/>
        <v>#N/A</v>
      </c>
      <c r="I99" s="3" t="e">
        <f>((Recaudo!$F$89*J99)+(Recaudo!$G$89*K99))</f>
        <v>#N/A</v>
      </c>
      <c r="J99" s="3"/>
      <c r="K99" s="3"/>
      <c r="L99" s="3"/>
      <c r="M99" s="3">
        <f t="shared" si="13"/>
        <v>0</v>
      </c>
      <c r="N99" s="134" t="str">
        <f>IF('Fondo (Recaudo + Aporte)'!M99+L99=Recaudo!K100,"SÍ","NO")</f>
        <v>NO</v>
      </c>
      <c r="O99" s="126"/>
    </row>
    <row r="100" spans="1:15">
      <c r="A100" s="114" t="s">
        <v>21</v>
      </c>
      <c r="B100" s="82">
        <f>Recaudo!B101</f>
        <v>0</v>
      </c>
      <c r="C100" s="117">
        <f>Recaudo!C101</f>
        <v>0</v>
      </c>
      <c r="D100" s="137"/>
      <c r="E100" s="235">
        <f t="shared" si="14"/>
        <v>0</v>
      </c>
      <c r="F100" s="66">
        <f>Recaudo!D101</f>
        <v>0</v>
      </c>
      <c r="G100" s="218" t="str">
        <f>Recaudo!E101</f>
        <v/>
      </c>
      <c r="H100" s="133" t="e">
        <f t="shared" si="10"/>
        <v>#N/A</v>
      </c>
      <c r="I100" s="3" t="e">
        <f>((Recaudo!$F$89*J100)+(Recaudo!$G$89*K100))</f>
        <v>#N/A</v>
      </c>
      <c r="J100" s="3"/>
      <c r="K100" s="3"/>
      <c r="L100" s="3"/>
      <c r="M100" s="3">
        <f t="shared" si="13"/>
        <v>0</v>
      </c>
      <c r="N100" s="134" t="str">
        <f>IF('Fondo (Recaudo + Aporte)'!M100+L100=Recaudo!K101,"SÍ","NO")</f>
        <v>NO</v>
      </c>
      <c r="O100" s="126"/>
    </row>
  </sheetData>
  <phoneticPr fontId="12" type="noConversion"/>
  <pageMargins left="0.7" right="0.7" top="0.75" bottom="0.75" header="0.3" footer="0.3"/>
  <pageSetup orientation="portrait" horizontalDpi="4294967293"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1"/>
  <dimension ref="A1:K109"/>
  <sheetViews>
    <sheetView topLeftCell="A13" zoomScale="86" workbookViewId="0">
      <pane ySplit="1" topLeftCell="A28" activePane="bottomLeft" state="frozen"/>
      <selection activeCell="I25" sqref="I25"/>
      <selection pane="bottomLeft" activeCell="B40" sqref="B40:D49"/>
    </sheetView>
  </sheetViews>
  <sheetFormatPr baseColWidth="10" defaultColWidth="11.42578125" defaultRowHeight="15.75"/>
  <cols>
    <col min="1" max="1" width="12.85546875" style="1" customWidth="1"/>
    <col min="2" max="2" width="13.28515625" style="1" customWidth="1"/>
    <col min="3" max="3" width="16.5703125" style="59" bestFit="1" customWidth="1"/>
    <col min="4" max="5" width="16.5703125" style="2" customWidth="1"/>
    <col min="6" max="6" width="12.28515625" style="1" bestFit="1" customWidth="1"/>
    <col min="7" max="7" width="17.42578125" style="1" bestFit="1" customWidth="1"/>
    <col min="8" max="8" width="19.140625" style="1" bestFit="1" customWidth="1"/>
    <col min="9" max="9" width="16.7109375" style="1" bestFit="1" customWidth="1"/>
    <col min="10" max="16384" width="11.42578125" style="1"/>
  </cols>
  <sheetData>
    <row r="1" spans="1:10" hidden="1">
      <c r="B1" s="205"/>
      <c r="C1" s="206"/>
      <c r="D1" s="62"/>
      <c r="E1" s="62"/>
      <c r="F1" s="62"/>
      <c r="G1" s="62"/>
    </row>
    <row r="2" spans="1:10" hidden="1">
      <c r="A2" s="7" t="s">
        <v>30</v>
      </c>
    </row>
    <row r="3" spans="1:10" ht="31.5" hidden="1">
      <c r="A3" s="8" t="s">
        <v>0</v>
      </c>
      <c r="B3" s="69" t="s">
        <v>1</v>
      </c>
      <c r="C3" s="186" t="s">
        <v>2</v>
      </c>
      <c r="D3" s="8" t="s">
        <v>3</v>
      </c>
      <c r="E3" s="8"/>
      <c r="F3" s="8" t="s">
        <v>10</v>
      </c>
      <c r="G3" s="8" t="s">
        <v>11</v>
      </c>
    </row>
    <row r="4" spans="1:10" hidden="1">
      <c r="A4" s="3" t="s">
        <v>15</v>
      </c>
      <c r="B4" s="69"/>
      <c r="C4" s="186"/>
      <c r="D4" s="8"/>
      <c r="E4" s="8"/>
      <c r="F4" s="8"/>
      <c r="G4" s="8"/>
    </row>
    <row r="5" spans="1:10" hidden="1">
      <c r="A5" s="3" t="s">
        <v>16</v>
      </c>
      <c r="B5" s="69"/>
      <c r="C5" s="186"/>
      <c r="D5" s="8"/>
      <c r="E5" s="8"/>
      <c r="F5" s="8"/>
      <c r="G5" s="8"/>
    </row>
    <row r="6" spans="1:10" hidden="1">
      <c r="A6" s="3" t="s">
        <v>17</v>
      </c>
      <c r="B6" s="69"/>
      <c r="C6" s="186"/>
      <c r="D6" s="8"/>
      <c r="E6" s="8"/>
      <c r="F6" s="8"/>
      <c r="G6" s="8"/>
    </row>
    <row r="7" spans="1:10" hidden="1">
      <c r="A7" s="3" t="s">
        <v>18</v>
      </c>
      <c r="B7" s="4"/>
      <c r="C7" s="187"/>
      <c r="D7" s="5"/>
      <c r="E7" s="5"/>
      <c r="F7" s="4"/>
      <c r="G7" s="4"/>
    </row>
    <row r="8" spans="1:10" hidden="1">
      <c r="A8" s="3" t="s">
        <v>19</v>
      </c>
      <c r="B8" s="4"/>
      <c r="C8" s="187"/>
      <c r="D8" s="5"/>
      <c r="E8" s="5"/>
      <c r="F8" s="4"/>
      <c r="G8" s="4"/>
    </row>
    <row r="9" spans="1:10" hidden="1">
      <c r="A9" s="3" t="s">
        <v>20</v>
      </c>
      <c r="B9" s="4"/>
      <c r="C9" s="187"/>
      <c r="D9" s="5"/>
      <c r="E9" s="5"/>
      <c r="F9" s="4"/>
      <c r="G9" s="4"/>
    </row>
    <row r="10" spans="1:10" hidden="1">
      <c r="A10" s="3" t="s">
        <v>21</v>
      </c>
      <c r="B10" s="4"/>
      <c r="C10" s="187"/>
      <c r="D10" s="5"/>
      <c r="E10" s="5"/>
      <c r="F10" s="4"/>
      <c r="G10" s="4"/>
    </row>
    <row r="11" spans="1:10" hidden="1"/>
    <row r="12" spans="1:10" hidden="1"/>
    <row r="13" spans="1:10" ht="31.5">
      <c r="A13" s="8" t="s">
        <v>0</v>
      </c>
      <c r="B13" s="69" t="s">
        <v>1</v>
      </c>
      <c r="C13" s="186" t="s">
        <v>2</v>
      </c>
      <c r="D13" s="8" t="s">
        <v>63</v>
      </c>
      <c r="E13" s="8" t="s">
        <v>287</v>
      </c>
      <c r="F13" s="8" t="s">
        <v>10</v>
      </c>
      <c r="G13" s="8" t="s">
        <v>11</v>
      </c>
      <c r="H13" s="215" t="s">
        <v>351</v>
      </c>
      <c r="I13" s="215" t="s">
        <v>352</v>
      </c>
      <c r="J13" s="216">
        <v>0.125</v>
      </c>
    </row>
    <row r="14" spans="1:10">
      <c r="A14" s="210" t="s">
        <v>16</v>
      </c>
      <c r="B14" s="211"/>
      <c r="C14" s="212"/>
      <c r="D14" s="174"/>
      <c r="E14" s="174">
        <v>43685</v>
      </c>
      <c r="F14" s="213" t="str">
        <f t="shared" ref="F14:F19" si="0">IF(E14&gt;=D14,"CUMPLE","NO CUMPLE")</f>
        <v>CUMPLE</v>
      </c>
      <c r="G14" s="214" t="s">
        <v>58</v>
      </c>
      <c r="H14" s="3"/>
      <c r="I14" s="3"/>
      <c r="J14" s="3">
        <f>(H14-I14)*12.5%</f>
        <v>0</v>
      </c>
    </row>
    <row r="15" spans="1:10">
      <c r="A15" s="3" t="s">
        <v>17</v>
      </c>
      <c r="B15" s="104"/>
      <c r="C15" s="58"/>
      <c r="D15" s="5"/>
      <c r="E15" s="5">
        <v>43714</v>
      </c>
      <c r="F15" s="4" t="str">
        <f t="shared" si="0"/>
        <v>CUMPLE</v>
      </c>
      <c r="G15" s="207" t="s">
        <v>58</v>
      </c>
      <c r="H15" s="3"/>
      <c r="I15" s="3"/>
      <c r="J15" s="3">
        <f t="shared" ref="J15:J78" si="1">(H15-I15)*12.5%</f>
        <v>0</v>
      </c>
    </row>
    <row r="16" spans="1:10">
      <c r="A16" s="3" t="s">
        <v>18</v>
      </c>
      <c r="B16" s="104"/>
      <c r="C16" s="58"/>
      <c r="D16" s="5"/>
      <c r="E16" s="5">
        <v>43745</v>
      </c>
      <c r="F16" s="4" t="str">
        <f t="shared" si="0"/>
        <v>CUMPLE</v>
      </c>
      <c r="G16" s="207" t="s">
        <v>58</v>
      </c>
      <c r="H16" s="3"/>
      <c r="I16" s="3"/>
      <c r="J16" s="3">
        <f t="shared" si="1"/>
        <v>0</v>
      </c>
    </row>
    <row r="17" spans="1:10">
      <c r="A17" s="3" t="s">
        <v>19</v>
      </c>
      <c r="B17" s="104"/>
      <c r="C17" s="58"/>
      <c r="D17" s="5"/>
      <c r="E17" s="5">
        <v>43777</v>
      </c>
      <c r="F17" s="4" t="str">
        <f t="shared" si="0"/>
        <v>CUMPLE</v>
      </c>
      <c r="G17" s="207" t="s">
        <v>58</v>
      </c>
      <c r="H17" s="3"/>
      <c r="I17" s="3"/>
      <c r="J17" s="3">
        <f t="shared" si="1"/>
        <v>0</v>
      </c>
    </row>
    <row r="18" spans="1:10">
      <c r="A18" s="3" t="s">
        <v>20</v>
      </c>
      <c r="B18" s="104"/>
      <c r="C18" s="58"/>
      <c r="D18" s="5"/>
      <c r="E18" s="5">
        <v>43805</v>
      </c>
      <c r="F18" s="4" t="str">
        <f t="shared" si="0"/>
        <v>CUMPLE</v>
      </c>
      <c r="G18" s="207" t="s">
        <v>58</v>
      </c>
      <c r="H18" s="3"/>
      <c r="I18" s="3"/>
      <c r="J18" s="3">
        <f t="shared" si="1"/>
        <v>0</v>
      </c>
    </row>
    <row r="19" spans="1:10">
      <c r="A19" s="3" t="s">
        <v>21</v>
      </c>
      <c r="B19" s="104"/>
      <c r="C19" s="58"/>
      <c r="D19" s="5"/>
      <c r="E19" s="5">
        <v>43839</v>
      </c>
      <c r="F19" s="4" t="str">
        <f t="shared" si="0"/>
        <v>CUMPLE</v>
      </c>
      <c r="G19" s="207" t="s">
        <v>58</v>
      </c>
      <c r="H19" s="3"/>
      <c r="I19" s="3"/>
      <c r="J19" s="3">
        <f t="shared" si="1"/>
        <v>0</v>
      </c>
    </row>
    <row r="21" spans="1:10">
      <c r="A21" s="7" t="s">
        <v>40</v>
      </c>
    </row>
    <row r="22" spans="1:10" ht="31.5">
      <c r="A22" s="8" t="s">
        <v>0</v>
      </c>
      <c r="B22" s="69" t="s">
        <v>1</v>
      </c>
      <c r="C22" s="186" t="s">
        <v>2</v>
      </c>
      <c r="D22" s="8" t="s">
        <v>63</v>
      </c>
      <c r="E22" s="8" t="s">
        <v>287</v>
      </c>
      <c r="F22" s="8" t="s">
        <v>10</v>
      </c>
      <c r="G22" s="8" t="s">
        <v>11</v>
      </c>
      <c r="H22" s="3"/>
      <c r="I22" s="3"/>
      <c r="J22" s="3"/>
    </row>
    <row r="23" spans="1:10">
      <c r="A23" s="3" t="s">
        <v>9</v>
      </c>
      <c r="B23" s="104"/>
      <c r="C23" s="57"/>
      <c r="D23" s="116"/>
      <c r="E23" s="116">
        <v>43868</v>
      </c>
      <c r="F23" s="4" t="s">
        <v>10</v>
      </c>
      <c r="G23" s="207" t="s">
        <v>58</v>
      </c>
      <c r="H23" s="3"/>
      <c r="I23" s="3"/>
      <c r="J23" s="3">
        <f t="shared" si="1"/>
        <v>0</v>
      </c>
    </row>
    <row r="24" spans="1:10">
      <c r="A24" s="3" t="s">
        <v>29</v>
      </c>
      <c r="B24" s="104"/>
      <c r="C24" s="57"/>
      <c r="D24" s="116"/>
      <c r="E24" s="116">
        <v>43896</v>
      </c>
      <c r="F24" s="4" t="s">
        <v>10</v>
      </c>
      <c r="G24" s="207" t="s">
        <v>58</v>
      </c>
      <c r="H24" s="3"/>
      <c r="I24" s="3"/>
      <c r="J24" s="3">
        <f t="shared" si="1"/>
        <v>0</v>
      </c>
    </row>
    <row r="25" spans="1:10">
      <c r="A25" s="3" t="s">
        <v>24</v>
      </c>
      <c r="B25" s="104"/>
      <c r="C25" s="57"/>
      <c r="D25" s="208"/>
      <c r="E25" s="208">
        <v>43928</v>
      </c>
      <c r="F25" s="4" t="str">
        <f t="shared" ref="F25:F33" si="2">IF(E25&gt;=D25,"CUMPLE","NO CUMPLE")</f>
        <v>CUMPLE</v>
      </c>
      <c r="G25" s="207" t="s">
        <v>58</v>
      </c>
      <c r="H25" s="3"/>
      <c r="I25" s="3"/>
      <c r="J25" s="3">
        <f t="shared" si="1"/>
        <v>0</v>
      </c>
    </row>
    <row r="26" spans="1:10">
      <c r="A26" s="3" t="s">
        <v>25</v>
      </c>
      <c r="B26" s="104"/>
      <c r="C26" s="57"/>
      <c r="D26" s="116"/>
      <c r="E26" s="116">
        <v>43959</v>
      </c>
      <c r="F26" s="4" t="str">
        <f t="shared" si="2"/>
        <v>CUMPLE</v>
      </c>
      <c r="G26" s="207" t="s">
        <v>58</v>
      </c>
      <c r="H26" s="3"/>
      <c r="I26" s="3"/>
      <c r="J26" s="3">
        <f t="shared" si="1"/>
        <v>0</v>
      </c>
    </row>
    <row r="27" spans="1:10">
      <c r="A27" s="3" t="s">
        <v>14</v>
      </c>
      <c r="B27" s="104"/>
      <c r="C27" s="57"/>
      <c r="D27" s="116"/>
      <c r="E27" s="116">
        <v>43987</v>
      </c>
      <c r="F27" s="4" t="str">
        <f t="shared" si="2"/>
        <v>CUMPLE</v>
      </c>
      <c r="G27" s="207" t="s">
        <v>58</v>
      </c>
      <c r="H27" s="3"/>
      <c r="I27" s="3"/>
      <c r="J27" s="3">
        <f t="shared" si="1"/>
        <v>0</v>
      </c>
    </row>
    <row r="28" spans="1:10">
      <c r="A28" s="3" t="s">
        <v>39</v>
      </c>
      <c r="B28" s="104"/>
      <c r="C28" s="57"/>
      <c r="D28" s="116"/>
      <c r="E28" s="116">
        <v>44019</v>
      </c>
      <c r="F28" s="4" t="str">
        <f t="shared" si="2"/>
        <v>CUMPLE</v>
      </c>
      <c r="G28" s="207" t="s">
        <v>58</v>
      </c>
      <c r="H28" s="3"/>
      <c r="I28" s="3"/>
      <c r="J28" s="3">
        <f t="shared" si="1"/>
        <v>0</v>
      </c>
    </row>
    <row r="29" spans="1:10">
      <c r="A29" s="3" t="s">
        <v>16</v>
      </c>
      <c r="B29" s="104"/>
      <c r="C29" s="57"/>
      <c r="D29" s="116"/>
      <c r="E29" s="116">
        <v>44053</v>
      </c>
      <c r="F29" s="4" t="str">
        <f t="shared" si="2"/>
        <v>CUMPLE</v>
      </c>
      <c r="G29" s="207" t="s">
        <v>58</v>
      </c>
      <c r="H29" s="3"/>
      <c r="I29" s="217"/>
      <c r="J29" s="3">
        <f t="shared" si="1"/>
        <v>0</v>
      </c>
    </row>
    <row r="30" spans="1:10">
      <c r="A30" s="3" t="s">
        <v>17</v>
      </c>
      <c r="B30" s="104"/>
      <c r="C30" s="57"/>
      <c r="D30" s="116"/>
      <c r="E30" s="116">
        <v>44081</v>
      </c>
      <c r="F30" s="4" t="str">
        <f t="shared" si="2"/>
        <v>CUMPLE</v>
      </c>
      <c r="G30" s="207" t="s">
        <v>58</v>
      </c>
      <c r="H30" s="3"/>
      <c r="I30" s="3"/>
      <c r="J30" s="3">
        <f t="shared" si="1"/>
        <v>0</v>
      </c>
    </row>
    <row r="31" spans="1:10">
      <c r="A31" s="3" t="s">
        <v>18</v>
      </c>
      <c r="B31" s="104"/>
      <c r="C31" s="57"/>
      <c r="D31" s="116"/>
      <c r="E31" s="116">
        <v>44111</v>
      </c>
      <c r="F31" s="4" t="str">
        <f t="shared" si="2"/>
        <v>CUMPLE</v>
      </c>
      <c r="G31" s="207" t="s">
        <v>58</v>
      </c>
      <c r="H31" s="3"/>
      <c r="I31" s="3"/>
      <c r="J31" s="3">
        <f t="shared" si="1"/>
        <v>0</v>
      </c>
    </row>
    <row r="32" spans="1:10">
      <c r="A32" s="3" t="s">
        <v>19</v>
      </c>
      <c r="B32" s="104"/>
      <c r="C32" s="57"/>
      <c r="D32" s="116"/>
      <c r="E32" s="116">
        <v>44144</v>
      </c>
      <c r="F32" s="4" t="str">
        <f t="shared" si="2"/>
        <v>CUMPLE</v>
      </c>
      <c r="G32" s="207" t="s">
        <v>58</v>
      </c>
      <c r="H32" s="3"/>
      <c r="I32" s="3"/>
      <c r="J32" s="3">
        <f t="shared" si="1"/>
        <v>0</v>
      </c>
    </row>
    <row r="33" spans="1:10">
      <c r="A33" s="3" t="s">
        <v>20</v>
      </c>
      <c r="B33" s="104"/>
      <c r="C33" s="58"/>
      <c r="D33" s="116"/>
      <c r="E33" s="116">
        <v>44172</v>
      </c>
      <c r="F33" s="4" t="str">
        <f t="shared" si="2"/>
        <v>CUMPLE</v>
      </c>
      <c r="G33" s="207" t="s">
        <v>58</v>
      </c>
      <c r="H33" s="3"/>
      <c r="I33" s="3"/>
      <c r="J33" s="3">
        <f t="shared" si="1"/>
        <v>0</v>
      </c>
    </row>
    <row r="34" spans="1:10">
      <c r="A34" s="3" t="s">
        <v>21</v>
      </c>
      <c r="B34" s="104"/>
      <c r="C34" s="58"/>
      <c r="D34" s="5"/>
      <c r="E34" s="5">
        <v>44204</v>
      </c>
      <c r="F34" s="4" t="str">
        <f t="shared" ref="F34" si="3">IF(E34&gt;=D34,"CUMPLE","NO CUMPLE")</f>
        <v>CUMPLE</v>
      </c>
      <c r="G34" s="207" t="s">
        <v>58</v>
      </c>
      <c r="H34" s="3"/>
      <c r="I34" s="3"/>
      <c r="J34" s="3">
        <f t="shared" si="1"/>
        <v>0</v>
      </c>
    </row>
    <row r="36" spans="1:10">
      <c r="A36" s="7" t="s">
        <v>41</v>
      </c>
    </row>
    <row r="37" spans="1:10" ht="31.5">
      <c r="A37" s="8" t="s">
        <v>0</v>
      </c>
      <c r="B37" s="69" t="s">
        <v>1</v>
      </c>
      <c r="C37" s="186" t="s">
        <v>2</v>
      </c>
      <c r="D37" s="8" t="s">
        <v>63</v>
      </c>
      <c r="E37" s="8" t="s">
        <v>287</v>
      </c>
      <c r="F37" s="8" t="s">
        <v>10</v>
      </c>
      <c r="G37" s="8" t="s">
        <v>11</v>
      </c>
      <c r="H37" s="3"/>
      <c r="I37" s="3"/>
      <c r="J37" s="3"/>
    </row>
    <row r="38" spans="1:10">
      <c r="A38" s="3" t="s">
        <v>9</v>
      </c>
      <c r="B38" s="104"/>
      <c r="C38" s="57"/>
      <c r="D38" s="116"/>
      <c r="E38" s="116">
        <v>44232</v>
      </c>
      <c r="F38" s="4" t="str">
        <f t="shared" ref="F38:F48" si="4">IF(E38&gt;=D38,"CUMPLE","NO CUMPLE")</f>
        <v>CUMPLE</v>
      </c>
      <c r="G38" s="207" t="s">
        <v>58</v>
      </c>
      <c r="H38" s="3"/>
      <c r="I38" s="3"/>
      <c r="J38" s="3">
        <f t="shared" si="1"/>
        <v>0</v>
      </c>
    </row>
    <row r="39" spans="1:10">
      <c r="A39" s="3" t="s">
        <v>29</v>
      </c>
      <c r="B39" s="104"/>
      <c r="C39" s="209"/>
      <c r="D39" s="13"/>
      <c r="E39" s="13">
        <v>44260</v>
      </c>
      <c r="F39" s="4" t="str">
        <f t="shared" si="4"/>
        <v>CUMPLE</v>
      </c>
      <c r="G39" s="207" t="s">
        <v>58</v>
      </c>
      <c r="H39" s="3"/>
      <c r="I39" s="3"/>
      <c r="J39" s="3">
        <f t="shared" si="1"/>
        <v>0</v>
      </c>
    </row>
    <row r="40" spans="1:10">
      <c r="A40" s="3" t="s">
        <v>24</v>
      </c>
      <c r="B40" s="104"/>
      <c r="C40" s="57"/>
      <c r="D40" s="116"/>
      <c r="E40" s="116">
        <v>44295</v>
      </c>
      <c r="F40" s="4" t="str">
        <f t="shared" si="4"/>
        <v>CUMPLE</v>
      </c>
      <c r="G40" s="207" t="s">
        <v>58</v>
      </c>
      <c r="H40" s="3"/>
      <c r="I40" s="217"/>
      <c r="J40" s="3">
        <f t="shared" si="1"/>
        <v>0</v>
      </c>
    </row>
    <row r="41" spans="1:10">
      <c r="A41" s="3" t="s">
        <v>25</v>
      </c>
      <c r="B41" s="104"/>
      <c r="C41" s="57"/>
      <c r="D41" s="116"/>
      <c r="E41" s="116">
        <v>44323</v>
      </c>
      <c r="F41" s="4" t="str">
        <f t="shared" si="4"/>
        <v>CUMPLE</v>
      </c>
      <c r="G41" s="207" t="s">
        <v>58</v>
      </c>
      <c r="H41" s="3"/>
      <c r="I41" s="3"/>
      <c r="J41" s="3">
        <f>(H41-I41)*12.5%</f>
        <v>0</v>
      </c>
    </row>
    <row r="42" spans="1:10">
      <c r="A42" s="3" t="s">
        <v>14</v>
      </c>
      <c r="B42" s="104"/>
      <c r="C42" s="57"/>
      <c r="D42" s="116"/>
      <c r="E42" s="116">
        <v>44355</v>
      </c>
      <c r="F42" s="4" t="str">
        <f t="shared" si="4"/>
        <v>CUMPLE</v>
      </c>
      <c r="G42" s="207" t="s">
        <v>58</v>
      </c>
      <c r="H42" s="3"/>
      <c r="I42" s="3"/>
      <c r="J42" s="3">
        <f t="shared" si="1"/>
        <v>0</v>
      </c>
    </row>
    <row r="43" spans="1:10">
      <c r="A43" s="3" t="s">
        <v>39</v>
      </c>
      <c r="B43" s="104"/>
      <c r="C43" s="57"/>
      <c r="D43" s="116"/>
      <c r="E43" s="116">
        <v>44385</v>
      </c>
      <c r="F43" s="4" t="str">
        <f t="shared" si="4"/>
        <v>CUMPLE</v>
      </c>
      <c r="G43" s="207" t="s">
        <v>58</v>
      </c>
      <c r="H43" s="3"/>
      <c r="I43" s="3"/>
      <c r="J43" s="3">
        <f t="shared" si="1"/>
        <v>0</v>
      </c>
    </row>
    <row r="44" spans="1:10">
      <c r="A44" s="3" t="s">
        <v>16</v>
      </c>
      <c r="B44" s="104"/>
      <c r="C44" s="58"/>
      <c r="D44" s="116"/>
      <c r="E44" s="116">
        <v>44414</v>
      </c>
      <c r="F44" s="4" t="str">
        <f t="shared" si="4"/>
        <v>CUMPLE</v>
      </c>
      <c r="G44" s="207" t="s">
        <v>58</v>
      </c>
      <c r="H44" s="3"/>
      <c r="I44" s="3"/>
      <c r="J44" s="3">
        <f t="shared" si="1"/>
        <v>0</v>
      </c>
    </row>
    <row r="45" spans="1:10">
      <c r="A45" s="3" t="s">
        <v>17</v>
      </c>
      <c r="B45" s="104"/>
      <c r="C45" s="58"/>
      <c r="D45" s="116"/>
      <c r="E45" s="116">
        <v>44446</v>
      </c>
      <c r="F45" s="4" t="str">
        <f t="shared" si="4"/>
        <v>CUMPLE</v>
      </c>
      <c r="G45" s="207" t="s">
        <v>58</v>
      </c>
      <c r="H45" s="3"/>
      <c r="I45" s="3"/>
      <c r="J45" s="3">
        <f t="shared" si="1"/>
        <v>0</v>
      </c>
    </row>
    <row r="46" spans="1:10">
      <c r="A46" s="3" t="s">
        <v>18</v>
      </c>
      <c r="B46" s="104"/>
      <c r="C46" s="58"/>
      <c r="D46" s="5"/>
      <c r="E46" s="5">
        <v>44476</v>
      </c>
      <c r="F46" s="4" t="str">
        <f t="shared" si="4"/>
        <v>CUMPLE</v>
      </c>
      <c r="G46" s="207" t="s">
        <v>58</v>
      </c>
      <c r="H46" s="3"/>
      <c r="I46" s="3"/>
      <c r="J46" s="3">
        <f t="shared" si="1"/>
        <v>0</v>
      </c>
    </row>
    <row r="47" spans="1:10">
      <c r="A47" s="3" t="s">
        <v>19</v>
      </c>
      <c r="B47" s="104"/>
      <c r="C47" s="58"/>
      <c r="D47" s="5"/>
      <c r="E47" s="5">
        <v>44508</v>
      </c>
      <c r="F47" s="4" t="str">
        <f t="shared" si="4"/>
        <v>CUMPLE</v>
      </c>
      <c r="G47" s="207" t="s">
        <v>58</v>
      </c>
      <c r="H47" s="3"/>
      <c r="I47" s="3"/>
      <c r="J47" s="3">
        <f t="shared" si="1"/>
        <v>0</v>
      </c>
    </row>
    <row r="48" spans="1:10">
      <c r="A48" s="3" t="s">
        <v>20</v>
      </c>
      <c r="B48" s="104"/>
      <c r="C48" s="58"/>
      <c r="D48" s="5"/>
      <c r="E48" s="5">
        <v>44537</v>
      </c>
      <c r="F48" s="4" t="str">
        <f t="shared" si="4"/>
        <v>CUMPLE</v>
      </c>
      <c r="G48" s="207" t="s">
        <v>58</v>
      </c>
      <c r="H48" s="3"/>
      <c r="I48" s="3"/>
      <c r="J48" s="3">
        <f t="shared" si="1"/>
        <v>0</v>
      </c>
    </row>
    <row r="49" spans="1:10">
      <c r="A49" s="3" t="s">
        <v>21</v>
      </c>
      <c r="B49" s="104"/>
      <c r="C49" s="58"/>
      <c r="D49" s="5"/>
      <c r="E49" s="5">
        <v>44568</v>
      </c>
      <c r="F49" s="4" t="str">
        <f t="shared" ref="F49" si="5">IF(E49&gt;=D49,"CUMPLE","NO CUMPLE")</f>
        <v>CUMPLE</v>
      </c>
      <c r="G49" s="207" t="s">
        <v>58</v>
      </c>
      <c r="H49" s="3"/>
      <c r="I49" s="3"/>
      <c r="J49" s="3">
        <f t="shared" si="1"/>
        <v>0</v>
      </c>
    </row>
    <row r="51" spans="1:10">
      <c r="A51" s="7" t="s">
        <v>42</v>
      </c>
    </row>
    <row r="52" spans="1:10" ht="31.5">
      <c r="A52" s="8" t="s">
        <v>0</v>
      </c>
      <c r="B52" s="69" t="s">
        <v>1</v>
      </c>
      <c r="C52" s="186" t="s">
        <v>2</v>
      </c>
      <c r="D52" s="8" t="s">
        <v>63</v>
      </c>
      <c r="E52" s="8" t="s">
        <v>287</v>
      </c>
      <c r="F52" s="8" t="s">
        <v>10</v>
      </c>
      <c r="G52" s="8" t="s">
        <v>11</v>
      </c>
      <c r="H52" s="3"/>
      <c r="I52" s="3"/>
      <c r="J52" s="3"/>
    </row>
    <row r="53" spans="1:10">
      <c r="A53" s="3" t="s">
        <v>9</v>
      </c>
      <c r="B53" s="104"/>
      <c r="C53" s="57"/>
      <c r="D53" s="93"/>
      <c r="E53" s="93">
        <v>44599</v>
      </c>
      <c r="F53" s="4" t="str">
        <f t="shared" ref="F53:F63" si="6">IF(E53&gt;=D53,"CUMPLE","NO CUMPLE")</f>
        <v>CUMPLE</v>
      </c>
      <c r="G53" s="207" t="s">
        <v>58</v>
      </c>
      <c r="H53" s="3"/>
      <c r="I53" s="3"/>
      <c r="J53" s="3">
        <f t="shared" si="1"/>
        <v>0</v>
      </c>
    </row>
    <row r="54" spans="1:10">
      <c r="A54" s="3" t="s">
        <v>23</v>
      </c>
      <c r="B54" s="104"/>
      <c r="C54" s="58"/>
      <c r="D54" s="13"/>
      <c r="E54" s="13">
        <v>44627</v>
      </c>
      <c r="F54" s="4" t="str">
        <f t="shared" si="6"/>
        <v>CUMPLE</v>
      </c>
      <c r="G54" s="207" t="s">
        <v>58</v>
      </c>
      <c r="H54" s="3"/>
      <c r="I54" s="3"/>
      <c r="J54" s="3">
        <f t="shared" si="1"/>
        <v>0</v>
      </c>
    </row>
    <row r="55" spans="1:10">
      <c r="A55" s="3" t="s">
        <v>24</v>
      </c>
      <c r="B55" s="104"/>
      <c r="C55" s="58"/>
      <c r="D55" s="13"/>
      <c r="E55" s="13">
        <v>44658</v>
      </c>
      <c r="F55" s="4" t="str">
        <f t="shared" si="6"/>
        <v>CUMPLE</v>
      </c>
      <c r="G55" s="207" t="s">
        <v>58</v>
      </c>
      <c r="H55" s="3"/>
      <c r="I55" s="3"/>
      <c r="J55" s="3">
        <f t="shared" si="1"/>
        <v>0</v>
      </c>
    </row>
    <row r="56" spans="1:10">
      <c r="A56" s="3" t="s">
        <v>25</v>
      </c>
      <c r="B56" s="104"/>
      <c r="C56" s="58"/>
      <c r="D56" s="13"/>
      <c r="E56" s="13">
        <v>44687</v>
      </c>
      <c r="F56" s="4" t="str">
        <f t="shared" si="6"/>
        <v>CUMPLE</v>
      </c>
      <c r="G56" s="207" t="s">
        <v>58</v>
      </c>
      <c r="H56" s="3"/>
      <c r="I56" s="3"/>
      <c r="J56" s="3">
        <f t="shared" si="1"/>
        <v>0</v>
      </c>
    </row>
    <row r="57" spans="1:10">
      <c r="A57" s="3" t="s">
        <v>14</v>
      </c>
      <c r="B57" s="104"/>
      <c r="C57" s="58"/>
      <c r="D57" s="13"/>
      <c r="E57" s="13">
        <v>44719</v>
      </c>
      <c r="F57" s="4" t="str">
        <f t="shared" si="6"/>
        <v>CUMPLE</v>
      </c>
      <c r="G57" s="207" t="s">
        <v>58</v>
      </c>
      <c r="H57" s="3"/>
      <c r="I57" s="3"/>
      <c r="J57" s="3">
        <f t="shared" si="1"/>
        <v>0</v>
      </c>
    </row>
    <row r="58" spans="1:10">
      <c r="A58" s="3" t="s">
        <v>15</v>
      </c>
      <c r="B58" s="104"/>
      <c r="C58" s="58"/>
      <c r="D58" s="5"/>
      <c r="E58" s="5">
        <v>44750</v>
      </c>
      <c r="F58" s="4" t="str">
        <f t="shared" si="6"/>
        <v>CUMPLE</v>
      </c>
      <c r="G58" s="207" t="s">
        <v>58</v>
      </c>
      <c r="H58" s="3"/>
      <c r="I58" s="3"/>
      <c r="J58" s="3">
        <f t="shared" si="1"/>
        <v>0</v>
      </c>
    </row>
    <row r="59" spans="1:10">
      <c r="A59" s="3" t="s">
        <v>16</v>
      </c>
      <c r="B59" s="104"/>
      <c r="C59" s="58"/>
      <c r="D59" s="5"/>
      <c r="E59" s="5">
        <v>44778</v>
      </c>
      <c r="F59" s="4" t="str">
        <f t="shared" si="6"/>
        <v>CUMPLE</v>
      </c>
      <c r="G59" s="207" t="s">
        <v>58</v>
      </c>
      <c r="H59" s="3"/>
      <c r="I59" s="3"/>
      <c r="J59" s="3">
        <f t="shared" si="1"/>
        <v>0</v>
      </c>
    </row>
    <row r="60" spans="1:10">
      <c r="A60" s="3" t="s">
        <v>17</v>
      </c>
      <c r="B60" s="104"/>
      <c r="C60" s="58"/>
      <c r="D60" s="5"/>
      <c r="E60" s="5">
        <v>44811</v>
      </c>
      <c r="F60" s="4" t="str">
        <f t="shared" si="6"/>
        <v>CUMPLE</v>
      </c>
      <c r="G60" s="207" t="s">
        <v>58</v>
      </c>
      <c r="H60" s="3"/>
      <c r="I60" s="3"/>
      <c r="J60" s="3">
        <f t="shared" si="1"/>
        <v>0</v>
      </c>
    </row>
    <row r="61" spans="1:10">
      <c r="A61" s="3" t="s">
        <v>18</v>
      </c>
      <c r="B61" s="104"/>
      <c r="C61" s="58"/>
      <c r="D61" s="5"/>
      <c r="E61" s="5">
        <v>44841</v>
      </c>
      <c r="F61" s="4" t="str">
        <f t="shared" si="6"/>
        <v>CUMPLE</v>
      </c>
      <c r="G61" s="207" t="s">
        <v>58</v>
      </c>
      <c r="H61" s="3"/>
      <c r="I61" s="3"/>
      <c r="J61" s="3">
        <f t="shared" si="1"/>
        <v>0</v>
      </c>
    </row>
    <row r="62" spans="1:10">
      <c r="A62" s="3" t="s">
        <v>19</v>
      </c>
      <c r="B62" s="104"/>
      <c r="C62" s="239"/>
      <c r="D62" s="66"/>
      <c r="E62" s="5">
        <v>44873</v>
      </c>
      <c r="F62" s="4" t="str">
        <f t="shared" si="6"/>
        <v>CUMPLE</v>
      </c>
      <c r="G62" s="207" t="s">
        <v>58</v>
      </c>
      <c r="H62" s="3"/>
      <c r="I62" s="3"/>
      <c r="J62" s="3">
        <f t="shared" si="1"/>
        <v>0</v>
      </c>
    </row>
    <row r="63" spans="1:10">
      <c r="A63" s="3" t="s">
        <v>20</v>
      </c>
      <c r="B63" s="104"/>
      <c r="C63" s="239"/>
      <c r="D63" s="66"/>
      <c r="E63" s="5">
        <v>44902</v>
      </c>
      <c r="F63" s="4" t="str">
        <f t="shared" si="6"/>
        <v>CUMPLE</v>
      </c>
      <c r="G63" s="207" t="s">
        <v>58</v>
      </c>
      <c r="H63" s="3"/>
      <c r="I63" s="3"/>
      <c r="J63" s="3">
        <f t="shared" si="1"/>
        <v>0</v>
      </c>
    </row>
    <row r="64" spans="1:10">
      <c r="A64" s="3" t="s">
        <v>21</v>
      </c>
      <c r="B64" s="104"/>
      <c r="C64" s="239"/>
      <c r="D64" s="66"/>
      <c r="E64" s="5">
        <v>44932</v>
      </c>
      <c r="F64" s="4" t="str">
        <f t="shared" ref="F64" si="7">IF(E64&gt;=D64,"CUMPLE","NO CUMPLE")</f>
        <v>CUMPLE</v>
      </c>
      <c r="G64" s="207" t="s">
        <v>58</v>
      </c>
      <c r="H64" s="3"/>
      <c r="I64" s="3"/>
      <c r="J64" s="3">
        <f t="shared" si="1"/>
        <v>0</v>
      </c>
    </row>
    <row r="66" spans="1:10">
      <c r="A66" s="7" t="s">
        <v>65</v>
      </c>
    </row>
    <row r="67" spans="1:10" ht="31.5">
      <c r="A67" s="8" t="s">
        <v>0</v>
      </c>
      <c r="B67" s="69" t="s">
        <v>1</v>
      </c>
      <c r="C67" s="186" t="s">
        <v>2</v>
      </c>
      <c r="D67" s="8" t="s">
        <v>63</v>
      </c>
      <c r="E67" s="8" t="s">
        <v>287</v>
      </c>
      <c r="F67" s="8" t="s">
        <v>10</v>
      </c>
      <c r="G67" s="8" t="s">
        <v>11</v>
      </c>
      <c r="H67" s="3"/>
      <c r="I67" s="3"/>
      <c r="J67" s="3"/>
    </row>
    <row r="68" spans="1:10">
      <c r="A68" s="3" t="s">
        <v>9</v>
      </c>
      <c r="B68" s="228"/>
      <c r="C68" s="239"/>
      <c r="D68" s="66"/>
      <c r="E68" s="93">
        <v>44964</v>
      </c>
      <c r="F68" s="4" t="str">
        <f t="shared" ref="F68:F78" si="8">IF(E68&gt;=D68,"CUMPLE","NO CUMPLE")</f>
        <v>CUMPLE</v>
      </c>
      <c r="G68" s="207" t="s">
        <v>58</v>
      </c>
      <c r="H68" s="3"/>
      <c r="I68" s="3"/>
      <c r="J68" s="3">
        <f t="shared" si="1"/>
        <v>0</v>
      </c>
    </row>
    <row r="69" spans="1:10">
      <c r="A69" s="3" t="s">
        <v>23</v>
      </c>
      <c r="B69" s="228"/>
      <c r="C69" s="239"/>
      <c r="D69" s="66"/>
      <c r="E69" s="13">
        <v>44992</v>
      </c>
      <c r="F69" s="4" t="str">
        <f t="shared" si="8"/>
        <v>CUMPLE</v>
      </c>
      <c r="G69" s="207" t="s">
        <v>58</v>
      </c>
      <c r="H69" s="3"/>
      <c r="I69" s="3"/>
      <c r="J69" s="3">
        <f t="shared" si="1"/>
        <v>0</v>
      </c>
    </row>
    <row r="70" spans="1:10">
      <c r="A70" s="3" t="s">
        <v>24</v>
      </c>
      <c r="B70" s="228"/>
      <c r="C70" s="239"/>
      <c r="D70" s="66"/>
      <c r="E70" s="13">
        <v>45027</v>
      </c>
      <c r="F70" s="4" t="str">
        <f t="shared" si="8"/>
        <v>CUMPLE</v>
      </c>
      <c r="G70" s="207" t="s">
        <v>58</v>
      </c>
      <c r="H70" s="3"/>
      <c r="I70" s="3"/>
      <c r="J70" s="3">
        <f t="shared" si="1"/>
        <v>0</v>
      </c>
    </row>
    <row r="71" spans="1:10">
      <c r="A71" s="3" t="s">
        <v>25</v>
      </c>
      <c r="B71" s="228"/>
      <c r="C71" s="239"/>
      <c r="D71" s="66"/>
      <c r="E71" s="66">
        <v>45054</v>
      </c>
      <c r="F71" s="4" t="str">
        <f t="shared" si="8"/>
        <v>CUMPLE</v>
      </c>
      <c r="G71" s="207" t="s">
        <v>58</v>
      </c>
      <c r="H71" s="3"/>
      <c r="I71" s="3"/>
      <c r="J71" s="3">
        <f t="shared" si="1"/>
        <v>0</v>
      </c>
    </row>
    <row r="72" spans="1:10">
      <c r="A72" s="3" t="s">
        <v>14</v>
      </c>
      <c r="B72" s="228"/>
      <c r="C72" s="239"/>
      <c r="D72" s="66"/>
      <c r="E72" s="13">
        <v>45084</v>
      </c>
      <c r="F72" s="4" t="str">
        <f t="shared" si="8"/>
        <v>CUMPLE</v>
      </c>
      <c r="G72" s="207" t="s">
        <v>58</v>
      </c>
      <c r="H72" s="3"/>
      <c r="I72" s="3"/>
      <c r="J72" s="3">
        <f t="shared" si="1"/>
        <v>0</v>
      </c>
    </row>
    <row r="73" spans="1:10">
      <c r="A73" s="3" t="s">
        <v>15</v>
      </c>
      <c r="B73" s="228"/>
      <c r="C73" s="239"/>
      <c r="D73" s="66"/>
      <c r="E73" s="5">
        <v>45117</v>
      </c>
      <c r="F73" s="4" t="str">
        <f t="shared" si="8"/>
        <v>CUMPLE</v>
      </c>
      <c r="G73" s="207" t="s">
        <v>58</v>
      </c>
      <c r="H73" s="3"/>
      <c r="I73" s="3"/>
      <c r="J73" s="3">
        <f t="shared" si="1"/>
        <v>0</v>
      </c>
    </row>
    <row r="74" spans="1:10">
      <c r="A74" s="3" t="s">
        <v>16</v>
      </c>
      <c r="B74" s="228"/>
      <c r="C74" s="239"/>
      <c r="D74" s="66"/>
      <c r="E74" s="5">
        <v>45146</v>
      </c>
      <c r="F74" s="4" t="str">
        <f t="shared" si="8"/>
        <v>CUMPLE</v>
      </c>
      <c r="G74" s="207" t="s">
        <v>58</v>
      </c>
      <c r="H74" s="3"/>
      <c r="I74" s="3"/>
      <c r="J74" s="3">
        <f t="shared" si="1"/>
        <v>0</v>
      </c>
    </row>
    <row r="75" spans="1:10">
      <c r="A75" s="3" t="s">
        <v>17</v>
      </c>
      <c r="B75" s="228"/>
      <c r="C75" s="239"/>
      <c r="D75" s="66"/>
      <c r="E75" s="5">
        <v>45176</v>
      </c>
      <c r="F75" s="4" t="str">
        <f t="shared" si="8"/>
        <v>CUMPLE</v>
      </c>
      <c r="G75" s="207" t="s">
        <v>58</v>
      </c>
      <c r="H75" s="3"/>
      <c r="I75" s="3"/>
      <c r="J75" s="3">
        <f t="shared" si="1"/>
        <v>0</v>
      </c>
    </row>
    <row r="76" spans="1:10">
      <c r="A76" s="3" t="s">
        <v>18</v>
      </c>
      <c r="B76" s="228"/>
      <c r="C76" s="239"/>
      <c r="D76" s="66"/>
      <c r="E76" s="5">
        <v>45205</v>
      </c>
      <c r="F76" s="4" t="str">
        <f t="shared" si="8"/>
        <v>CUMPLE</v>
      </c>
      <c r="G76" s="207" t="s">
        <v>58</v>
      </c>
      <c r="H76" s="3"/>
      <c r="I76" s="3"/>
      <c r="J76" s="3">
        <f t="shared" si="1"/>
        <v>0</v>
      </c>
    </row>
    <row r="77" spans="1:10">
      <c r="A77" s="3" t="s">
        <v>19</v>
      </c>
      <c r="B77" s="228"/>
      <c r="C77" s="239"/>
      <c r="D77" s="66"/>
      <c r="E77" s="5">
        <v>45238</v>
      </c>
      <c r="F77" s="4" t="str">
        <f t="shared" si="8"/>
        <v>CUMPLE</v>
      </c>
      <c r="G77" s="207" t="s">
        <v>58</v>
      </c>
      <c r="H77" s="3"/>
      <c r="I77" s="3"/>
      <c r="J77" s="3">
        <f t="shared" si="1"/>
        <v>0</v>
      </c>
    </row>
    <row r="78" spans="1:10">
      <c r="A78" s="3" t="s">
        <v>20</v>
      </c>
      <c r="B78" s="228"/>
      <c r="C78" s="239"/>
      <c r="D78" s="66"/>
      <c r="E78" s="5">
        <v>45267</v>
      </c>
      <c r="F78" s="4" t="str">
        <f t="shared" si="8"/>
        <v>CUMPLE</v>
      </c>
      <c r="G78" s="207" t="s">
        <v>58</v>
      </c>
      <c r="H78" s="3"/>
      <c r="I78" s="3"/>
      <c r="J78" s="3">
        <f t="shared" si="1"/>
        <v>0</v>
      </c>
    </row>
    <row r="79" spans="1:10">
      <c r="A79" s="3" t="s">
        <v>21</v>
      </c>
      <c r="B79" s="228"/>
      <c r="C79" s="239"/>
      <c r="D79" s="66"/>
      <c r="E79" s="5">
        <v>45300</v>
      </c>
      <c r="F79" s="4" t="str">
        <f t="shared" ref="F79" si="9">IF(E79&gt;=D79,"CUMPLE","NO CUMPLE")</f>
        <v>CUMPLE</v>
      </c>
      <c r="G79" s="207" t="s">
        <v>58</v>
      </c>
      <c r="H79" s="3"/>
      <c r="I79" s="3"/>
      <c r="J79" s="3">
        <f t="shared" ref="J79:J109" si="10">(H79-I79)*12.5%</f>
        <v>0</v>
      </c>
    </row>
    <row r="81" spans="1:11">
      <c r="A81" s="7" t="s">
        <v>67</v>
      </c>
    </row>
    <row r="82" spans="1:11" ht="31.5">
      <c r="A82" s="8" t="s">
        <v>0</v>
      </c>
      <c r="B82" s="69" t="s">
        <v>1</v>
      </c>
      <c r="C82" s="186" t="s">
        <v>2</v>
      </c>
      <c r="D82" s="8" t="s">
        <v>63</v>
      </c>
      <c r="E82" s="8" t="s">
        <v>287</v>
      </c>
      <c r="F82" s="8" t="s">
        <v>10</v>
      </c>
      <c r="G82" s="8" t="s">
        <v>11</v>
      </c>
      <c r="H82" s="3"/>
      <c r="I82" s="3"/>
      <c r="J82" s="3"/>
    </row>
    <row r="83" spans="1:11">
      <c r="A83" s="3" t="s">
        <v>9</v>
      </c>
      <c r="B83" s="228"/>
      <c r="C83" s="239"/>
      <c r="D83" s="66"/>
      <c r="E83" s="93">
        <v>45329</v>
      </c>
      <c r="F83" s="4" t="str">
        <f t="shared" ref="F83:F93" si="11">IF(E83&gt;=D83,"CUMPLE","NO CUMPLE")</f>
        <v>CUMPLE</v>
      </c>
      <c r="G83" s="207" t="s">
        <v>58</v>
      </c>
      <c r="H83" s="3"/>
      <c r="I83" s="3"/>
      <c r="J83" s="3">
        <f t="shared" si="10"/>
        <v>0</v>
      </c>
      <c r="K83" s="127"/>
    </row>
    <row r="84" spans="1:11">
      <c r="A84" s="3" t="s">
        <v>23</v>
      </c>
      <c r="B84" s="228"/>
      <c r="C84" s="239"/>
      <c r="D84" s="66"/>
      <c r="E84" s="13">
        <v>45358</v>
      </c>
      <c r="F84" s="4" t="str">
        <f t="shared" si="11"/>
        <v>CUMPLE</v>
      </c>
      <c r="G84" s="207" t="s">
        <v>58</v>
      </c>
      <c r="H84" s="3"/>
      <c r="I84" s="3"/>
      <c r="J84" s="3">
        <f t="shared" si="10"/>
        <v>0</v>
      </c>
    </row>
    <row r="85" spans="1:11">
      <c r="A85" s="3" t="s">
        <v>24</v>
      </c>
      <c r="B85" s="228"/>
      <c r="C85" s="188"/>
      <c r="D85" s="66"/>
      <c r="E85" s="5">
        <v>45387</v>
      </c>
      <c r="F85" s="4" t="str">
        <f t="shared" si="11"/>
        <v>CUMPLE</v>
      </c>
      <c r="G85" s="207" t="s">
        <v>58</v>
      </c>
      <c r="H85" s="3"/>
      <c r="I85" s="3"/>
      <c r="J85" s="3">
        <f t="shared" si="10"/>
        <v>0</v>
      </c>
    </row>
    <row r="86" spans="1:11">
      <c r="A86" s="3" t="s">
        <v>25</v>
      </c>
      <c r="B86" s="228"/>
      <c r="C86" s="187"/>
      <c r="D86" s="5"/>
      <c r="E86" s="5">
        <v>45420</v>
      </c>
      <c r="F86" s="4" t="str">
        <f t="shared" si="11"/>
        <v>CUMPLE</v>
      </c>
      <c r="G86" s="207" t="s">
        <v>58</v>
      </c>
      <c r="H86" s="3"/>
      <c r="I86" s="3"/>
      <c r="J86" s="3">
        <f t="shared" si="10"/>
        <v>0</v>
      </c>
    </row>
    <row r="87" spans="1:11">
      <c r="A87" s="3" t="s">
        <v>14</v>
      </c>
      <c r="B87" s="228"/>
      <c r="C87" s="187"/>
      <c r="D87" s="5"/>
      <c r="E87" s="5">
        <v>45454</v>
      </c>
      <c r="F87" s="4" t="str">
        <f t="shared" si="11"/>
        <v>CUMPLE</v>
      </c>
      <c r="G87" s="207" t="s">
        <v>58</v>
      </c>
      <c r="H87" s="3"/>
      <c r="I87" s="3"/>
      <c r="J87" s="3">
        <f t="shared" si="10"/>
        <v>0</v>
      </c>
    </row>
    <row r="88" spans="1:11">
      <c r="A88" s="3" t="s">
        <v>15</v>
      </c>
      <c r="B88" s="228"/>
      <c r="C88" s="187"/>
      <c r="D88" s="5"/>
      <c r="E88" s="5">
        <v>45481</v>
      </c>
      <c r="F88" s="4" t="str">
        <f t="shared" si="11"/>
        <v>CUMPLE</v>
      </c>
      <c r="G88" s="207" t="s">
        <v>58</v>
      </c>
      <c r="H88" s="3"/>
      <c r="I88" s="3"/>
      <c r="J88" s="3">
        <f t="shared" si="10"/>
        <v>0</v>
      </c>
    </row>
    <row r="89" spans="1:11">
      <c r="A89" s="3" t="s">
        <v>16</v>
      </c>
      <c r="B89" s="228"/>
      <c r="C89" s="187"/>
      <c r="D89" s="5"/>
      <c r="E89" s="5">
        <v>45512</v>
      </c>
      <c r="F89" s="4" t="str">
        <f t="shared" si="11"/>
        <v>CUMPLE</v>
      </c>
      <c r="G89" s="207" t="s">
        <v>58</v>
      </c>
      <c r="H89" s="3"/>
      <c r="I89" s="3"/>
      <c r="J89" s="3">
        <f t="shared" si="10"/>
        <v>0</v>
      </c>
    </row>
    <row r="90" spans="1:11">
      <c r="A90" s="3" t="s">
        <v>17</v>
      </c>
      <c r="B90" s="228"/>
      <c r="C90" s="187"/>
      <c r="D90" s="5"/>
      <c r="E90" s="5">
        <v>45541</v>
      </c>
      <c r="F90" s="4" t="str">
        <f t="shared" si="11"/>
        <v>CUMPLE</v>
      </c>
      <c r="G90" s="207" t="s">
        <v>58</v>
      </c>
      <c r="H90" s="3"/>
      <c r="I90" s="3"/>
      <c r="J90" s="3">
        <f t="shared" si="10"/>
        <v>0</v>
      </c>
    </row>
    <row r="91" spans="1:11">
      <c r="A91" s="3" t="s">
        <v>18</v>
      </c>
      <c r="B91" s="228"/>
      <c r="C91" s="187"/>
      <c r="D91" s="68"/>
      <c r="E91" s="5">
        <v>45572</v>
      </c>
      <c r="F91" s="4" t="str">
        <f t="shared" si="11"/>
        <v>CUMPLE</v>
      </c>
      <c r="G91" s="207" t="s">
        <v>58</v>
      </c>
      <c r="H91" s="3"/>
      <c r="I91" s="3"/>
      <c r="J91" s="3">
        <f t="shared" si="10"/>
        <v>0</v>
      </c>
    </row>
    <row r="92" spans="1:11">
      <c r="A92" s="3" t="s">
        <v>19</v>
      </c>
      <c r="B92" s="228"/>
      <c r="C92" s="187"/>
      <c r="D92" s="68"/>
      <c r="E92" s="5">
        <v>45604</v>
      </c>
      <c r="F92" s="4" t="str">
        <f t="shared" si="11"/>
        <v>CUMPLE</v>
      </c>
      <c r="G92" s="207" t="s">
        <v>58</v>
      </c>
      <c r="H92" s="3"/>
      <c r="I92" s="3"/>
      <c r="J92" s="3">
        <f t="shared" si="10"/>
        <v>0</v>
      </c>
    </row>
    <row r="93" spans="1:11">
      <c r="A93" s="3" t="s">
        <v>20</v>
      </c>
      <c r="B93" s="228"/>
      <c r="C93" s="187"/>
      <c r="D93" s="68"/>
      <c r="E93" s="5">
        <v>45632</v>
      </c>
      <c r="F93" s="4" t="str">
        <f t="shared" si="11"/>
        <v>CUMPLE</v>
      </c>
      <c r="G93" s="207" t="s">
        <v>58</v>
      </c>
      <c r="H93" s="3"/>
      <c r="I93" s="3"/>
      <c r="J93" s="3">
        <f t="shared" si="10"/>
        <v>0</v>
      </c>
    </row>
    <row r="94" spans="1:11">
      <c r="A94" s="3" t="s">
        <v>21</v>
      </c>
      <c r="B94" s="228"/>
      <c r="C94" s="187"/>
      <c r="D94" s="68"/>
      <c r="E94" s="5">
        <v>45666</v>
      </c>
      <c r="F94" s="4" t="str">
        <f>IF(E94&gt;=D94,"CUMPLE","NO CUMPLE")</f>
        <v>CUMPLE</v>
      </c>
      <c r="G94" s="207" t="s">
        <v>58</v>
      </c>
      <c r="H94" s="3"/>
      <c r="I94" s="3"/>
      <c r="J94" s="3">
        <f t="shared" si="10"/>
        <v>0</v>
      </c>
    </row>
    <row r="96" spans="1:11">
      <c r="A96" s="7" t="s">
        <v>306</v>
      </c>
    </row>
    <row r="97" spans="1:10" ht="31.5">
      <c r="A97" s="8" t="s">
        <v>0</v>
      </c>
      <c r="B97" s="69" t="s">
        <v>1</v>
      </c>
      <c r="C97" s="186" t="s">
        <v>2</v>
      </c>
      <c r="D97" s="8" t="s">
        <v>63</v>
      </c>
      <c r="E97" s="8" t="s">
        <v>287</v>
      </c>
      <c r="F97" s="8" t="s">
        <v>10</v>
      </c>
      <c r="G97" s="8" t="s">
        <v>11</v>
      </c>
      <c r="H97" s="3"/>
      <c r="I97" s="3"/>
      <c r="J97" s="3"/>
    </row>
    <row r="98" spans="1:10">
      <c r="A98" s="3" t="s">
        <v>9</v>
      </c>
      <c r="B98" s="228"/>
      <c r="C98" s="239"/>
      <c r="D98" s="66"/>
      <c r="E98" s="93">
        <v>45695</v>
      </c>
      <c r="F98" s="4" t="str">
        <f>IF(E98&gt;=D98,"CUMPLE","NO CUMPLE")</f>
        <v>CUMPLE</v>
      </c>
      <c r="G98" s="207" t="s">
        <v>58</v>
      </c>
      <c r="H98" s="3"/>
      <c r="I98" s="3"/>
      <c r="J98" s="3">
        <f t="shared" si="10"/>
        <v>0</v>
      </c>
    </row>
    <row r="99" spans="1:10">
      <c r="A99" s="3" t="s">
        <v>23</v>
      </c>
      <c r="B99" s="228"/>
      <c r="C99" s="239"/>
      <c r="D99" s="66"/>
      <c r="E99" s="13">
        <v>45727</v>
      </c>
      <c r="F99" s="4" t="str">
        <f t="shared" ref="F99:F109" si="12">IF(E99&gt;=D99,"CUMPLE","NO CUMPLE")</f>
        <v>CUMPLE</v>
      </c>
      <c r="G99" s="207" t="s">
        <v>58</v>
      </c>
      <c r="H99" s="3"/>
      <c r="I99" s="3"/>
      <c r="J99" s="3">
        <f t="shared" si="10"/>
        <v>0</v>
      </c>
    </row>
    <row r="100" spans="1:10">
      <c r="A100" s="3" t="s">
        <v>24</v>
      </c>
      <c r="B100" s="228"/>
      <c r="C100" s="188"/>
      <c r="D100" s="66"/>
      <c r="E100" s="5">
        <v>45758</v>
      </c>
      <c r="F100" s="4" t="str">
        <f t="shared" si="12"/>
        <v>CUMPLE</v>
      </c>
      <c r="G100" s="207" t="s">
        <v>58</v>
      </c>
      <c r="H100" s="3"/>
      <c r="I100" s="3"/>
      <c r="J100" s="3">
        <f t="shared" si="10"/>
        <v>0</v>
      </c>
    </row>
    <row r="101" spans="1:10">
      <c r="A101" s="3" t="s">
        <v>25</v>
      </c>
      <c r="B101" s="228"/>
      <c r="C101" s="187"/>
      <c r="D101" s="5"/>
      <c r="E101" s="5">
        <v>45786</v>
      </c>
      <c r="F101" s="4" t="str">
        <f t="shared" si="12"/>
        <v>CUMPLE</v>
      </c>
      <c r="G101" s="207" t="s">
        <v>58</v>
      </c>
      <c r="H101" s="3"/>
      <c r="I101" s="3"/>
      <c r="J101" s="3">
        <f t="shared" si="10"/>
        <v>0</v>
      </c>
    </row>
    <row r="102" spans="1:10">
      <c r="A102" s="3" t="s">
        <v>14</v>
      </c>
      <c r="B102" s="228"/>
      <c r="C102" s="187"/>
      <c r="D102" s="5"/>
      <c r="E102" s="5">
        <v>45817</v>
      </c>
      <c r="F102" s="4" t="str">
        <f t="shared" si="12"/>
        <v>CUMPLE</v>
      </c>
      <c r="G102" s="207" t="s">
        <v>58</v>
      </c>
      <c r="H102" s="3"/>
      <c r="I102" s="3"/>
      <c r="J102" s="3">
        <f t="shared" si="10"/>
        <v>0</v>
      </c>
    </row>
    <row r="103" spans="1:10">
      <c r="A103" s="3" t="s">
        <v>15</v>
      </c>
      <c r="B103" s="228"/>
      <c r="C103" s="187"/>
      <c r="D103" s="5"/>
      <c r="E103" s="5">
        <v>45847</v>
      </c>
      <c r="F103" s="4" t="str">
        <f t="shared" si="12"/>
        <v>CUMPLE</v>
      </c>
      <c r="G103" s="207" t="s">
        <v>58</v>
      </c>
      <c r="H103" s="3"/>
      <c r="I103" s="3"/>
      <c r="J103" s="3">
        <f t="shared" si="10"/>
        <v>0</v>
      </c>
    </row>
    <row r="104" spans="1:10">
      <c r="A104" s="3" t="s">
        <v>16</v>
      </c>
      <c r="B104" s="228"/>
      <c r="C104" s="187"/>
      <c r="D104" s="5"/>
      <c r="E104" s="5">
        <v>45880</v>
      </c>
      <c r="F104" s="4" t="str">
        <f t="shared" si="12"/>
        <v>CUMPLE</v>
      </c>
      <c r="G104" s="207" t="s">
        <v>58</v>
      </c>
      <c r="H104" s="3"/>
      <c r="I104" s="3"/>
      <c r="J104" s="3">
        <f t="shared" si="10"/>
        <v>0</v>
      </c>
    </row>
    <row r="105" spans="1:10">
      <c r="A105" s="3" t="s">
        <v>17</v>
      </c>
      <c r="B105" s="228"/>
      <c r="C105" s="187"/>
      <c r="D105" s="5"/>
      <c r="E105" s="5">
        <v>45909</v>
      </c>
      <c r="F105" s="4" t="str">
        <f t="shared" si="12"/>
        <v>CUMPLE</v>
      </c>
      <c r="G105" s="207" t="s">
        <v>58</v>
      </c>
      <c r="H105" s="3"/>
      <c r="I105" s="3"/>
      <c r="J105" s="3">
        <f t="shared" si="10"/>
        <v>0</v>
      </c>
    </row>
    <row r="106" spans="1:10">
      <c r="A106" s="3" t="s">
        <v>18</v>
      </c>
      <c r="B106" s="228"/>
      <c r="C106" s="58"/>
      <c r="D106" s="5"/>
      <c r="E106" s="5">
        <v>45939</v>
      </c>
      <c r="F106" s="4" t="str">
        <f t="shared" si="12"/>
        <v>CUMPLE</v>
      </c>
      <c r="G106" s="207" t="s">
        <v>58</v>
      </c>
      <c r="H106" s="3"/>
      <c r="I106" s="3"/>
      <c r="J106" s="3">
        <f t="shared" si="10"/>
        <v>0</v>
      </c>
    </row>
    <row r="107" spans="1:10">
      <c r="A107" s="3" t="s">
        <v>19</v>
      </c>
      <c r="B107" s="228"/>
      <c r="C107" s="58"/>
      <c r="D107" s="5"/>
      <c r="E107" s="5">
        <v>45972</v>
      </c>
      <c r="F107" s="4" t="str">
        <f t="shared" si="12"/>
        <v>CUMPLE</v>
      </c>
      <c r="G107" s="207" t="s">
        <v>58</v>
      </c>
      <c r="H107" s="3"/>
      <c r="I107" s="3"/>
      <c r="J107" s="3">
        <f t="shared" si="10"/>
        <v>0</v>
      </c>
    </row>
    <row r="108" spans="1:10">
      <c r="A108" s="3" t="s">
        <v>20</v>
      </c>
      <c r="B108" s="228"/>
      <c r="C108" s="58"/>
      <c r="D108" s="5"/>
      <c r="E108" s="5">
        <v>46001</v>
      </c>
      <c r="F108" s="4" t="str">
        <f t="shared" si="12"/>
        <v>CUMPLE</v>
      </c>
      <c r="G108" s="207" t="s">
        <v>58</v>
      </c>
      <c r="H108" s="3"/>
      <c r="I108" s="3"/>
      <c r="J108" s="3">
        <f t="shared" si="10"/>
        <v>0</v>
      </c>
    </row>
    <row r="109" spans="1:10">
      <c r="A109" s="3" t="s">
        <v>21</v>
      </c>
      <c r="B109" s="228"/>
      <c r="C109" s="58"/>
      <c r="D109" s="5"/>
      <c r="E109" s="5">
        <v>46030</v>
      </c>
      <c r="F109" s="4" t="str">
        <f t="shared" si="12"/>
        <v>CUMPLE</v>
      </c>
      <c r="G109" s="207" t="s">
        <v>58</v>
      </c>
      <c r="H109" s="3"/>
      <c r="I109" s="3"/>
      <c r="J109" s="3">
        <f t="shared" si="10"/>
        <v>0</v>
      </c>
    </row>
  </sheetData>
  <phoneticPr fontId="12"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0"/>
  <dimension ref="A2:J99"/>
  <sheetViews>
    <sheetView topLeftCell="A74" workbookViewId="0">
      <selection activeCell="D97" sqref="D97"/>
    </sheetView>
  </sheetViews>
  <sheetFormatPr baseColWidth="10" defaultColWidth="11.42578125" defaultRowHeight="15.75"/>
  <cols>
    <col min="1" max="1" width="13.42578125" style="1" customWidth="1"/>
    <col min="2" max="2" width="20.140625" style="1" customWidth="1"/>
    <col min="3" max="3" width="15.28515625" style="59" bestFit="1" customWidth="1"/>
    <col min="4" max="4" width="22.5703125" style="2" bestFit="1" customWidth="1"/>
    <col min="5" max="5" width="22.5703125" style="2" customWidth="1"/>
    <col min="6" max="6" width="12.28515625" style="28" bestFit="1" customWidth="1"/>
    <col min="7" max="16384" width="11.42578125" style="1"/>
  </cols>
  <sheetData>
    <row r="2" spans="1:10">
      <c r="A2" s="7" t="s">
        <v>32</v>
      </c>
    </row>
    <row r="3" spans="1:10">
      <c r="A3" s="8" t="s">
        <v>0</v>
      </c>
      <c r="B3" s="8" t="s">
        <v>1</v>
      </c>
      <c r="C3" s="186" t="s">
        <v>2</v>
      </c>
      <c r="D3" s="8" t="s">
        <v>3</v>
      </c>
      <c r="E3" s="8" t="s">
        <v>12</v>
      </c>
    </row>
    <row r="4" spans="1:10">
      <c r="A4" s="3" t="s">
        <v>16</v>
      </c>
      <c r="B4" s="61"/>
      <c r="C4" s="187"/>
      <c r="D4" s="5"/>
      <c r="E4" s="13">
        <f t="shared" ref="E4:E9" si="0">D4</f>
        <v>0</v>
      </c>
    </row>
    <row r="5" spans="1:10">
      <c r="A5" s="3" t="s">
        <v>17</v>
      </c>
      <c r="B5" s="61"/>
      <c r="C5" s="187"/>
      <c r="D5" s="5"/>
      <c r="E5" s="13">
        <f t="shared" si="0"/>
        <v>0</v>
      </c>
      <c r="F5" s="203"/>
    </row>
    <row r="6" spans="1:10">
      <c r="A6" s="3" t="s">
        <v>18</v>
      </c>
      <c r="B6" s="61"/>
      <c r="C6" s="187"/>
      <c r="D6" s="5"/>
      <c r="E6" s="13">
        <f t="shared" si="0"/>
        <v>0</v>
      </c>
      <c r="F6" s="203"/>
    </row>
    <row r="7" spans="1:10">
      <c r="A7" s="3" t="s">
        <v>19</v>
      </c>
      <c r="B7" s="61"/>
      <c r="C7" s="188"/>
      <c r="D7" s="66"/>
      <c r="E7" s="13">
        <f t="shared" si="0"/>
        <v>0</v>
      </c>
      <c r="F7" s="203"/>
    </row>
    <row r="8" spans="1:10">
      <c r="A8" s="3" t="s">
        <v>20</v>
      </c>
      <c r="B8" s="61"/>
      <c r="C8" s="187"/>
      <c r="D8" s="5"/>
      <c r="E8" s="13">
        <f t="shared" si="0"/>
        <v>0</v>
      </c>
    </row>
    <row r="9" spans="1:10">
      <c r="A9" s="3" t="s">
        <v>21</v>
      </c>
      <c r="B9" s="61"/>
      <c r="C9" s="188"/>
      <c r="D9" s="66"/>
      <c r="E9" s="13">
        <f t="shared" si="0"/>
        <v>0</v>
      </c>
    </row>
    <row r="11" spans="1:10">
      <c r="A11" s="7" t="s">
        <v>40</v>
      </c>
    </row>
    <row r="12" spans="1:10">
      <c r="A12" s="8" t="s">
        <v>0</v>
      </c>
      <c r="B12" s="8" t="s">
        <v>1</v>
      </c>
      <c r="C12" s="186" t="s">
        <v>2</v>
      </c>
      <c r="D12" s="8" t="s">
        <v>3</v>
      </c>
      <c r="E12" s="8" t="s">
        <v>12</v>
      </c>
    </row>
    <row r="13" spans="1:10">
      <c r="A13" s="3" t="s">
        <v>9</v>
      </c>
      <c r="B13" s="61"/>
      <c r="C13" s="187"/>
      <c r="D13" s="5"/>
      <c r="E13" s="13">
        <f>D13</f>
        <v>0</v>
      </c>
      <c r="I13" s="189"/>
      <c r="J13" s="189"/>
    </row>
    <row r="14" spans="1:10">
      <c r="A14" s="3" t="s">
        <v>23</v>
      </c>
      <c r="B14" s="61"/>
      <c r="C14" s="187"/>
      <c r="D14" s="5"/>
      <c r="E14" s="13">
        <f t="shared" ref="E14:E24" si="1">D14</f>
        <v>0</v>
      </c>
    </row>
    <row r="15" spans="1:10">
      <c r="A15" s="3" t="s">
        <v>24</v>
      </c>
      <c r="B15" s="61"/>
      <c r="D15" s="5"/>
      <c r="E15" s="13">
        <f t="shared" si="1"/>
        <v>0</v>
      </c>
    </row>
    <row r="16" spans="1:10">
      <c r="A16" s="3" t="s">
        <v>8</v>
      </c>
      <c r="B16" s="61"/>
      <c r="C16" s="187"/>
      <c r="D16" s="5"/>
      <c r="E16" s="13">
        <f t="shared" si="1"/>
        <v>0</v>
      </c>
    </row>
    <row r="17" spans="1:6">
      <c r="A17" s="3" t="s">
        <v>14</v>
      </c>
      <c r="B17" s="61"/>
      <c r="C17" s="187"/>
      <c r="D17" s="5"/>
      <c r="E17" s="13">
        <f t="shared" si="1"/>
        <v>0</v>
      </c>
    </row>
    <row r="18" spans="1:6">
      <c r="A18" s="3" t="s">
        <v>39</v>
      </c>
      <c r="B18" s="61"/>
      <c r="C18" s="187"/>
      <c r="D18" s="5"/>
      <c r="E18" s="13">
        <f t="shared" si="1"/>
        <v>0</v>
      </c>
    </row>
    <row r="19" spans="1:6">
      <c r="A19" s="3" t="s">
        <v>16</v>
      </c>
      <c r="B19" s="61"/>
      <c r="C19" s="187"/>
      <c r="D19" s="5"/>
      <c r="E19" s="13">
        <f t="shared" si="1"/>
        <v>0</v>
      </c>
      <c r="F19" s="203"/>
    </row>
    <row r="20" spans="1:6">
      <c r="A20" s="3" t="s">
        <v>17</v>
      </c>
      <c r="B20" s="61"/>
      <c r="C20" s="187"/>
      <c r="D20" s="5"/>
      <c r="E20" s="13">
        <f t="shared" si="1"/>
        <v>0</v>
      </c>
      <c r="F20" s="203"/>
    </row>
    <row r="21" spans="1:6">
      <c r="A21" s="3" t="s">
        <v>18</v>
      </c>
      <c r="B21" s="61"/>
      <c r="C21" s="187"/>
      <c r="D21" s="5"/>
      <c r="E21" s="13">
        <f t="shared" si="1"/>
        <v>0</v>
      </c>
    </row>
    <row r="22" spans="1:6">
      <c r="A22" s="3" t="s">
        <v>19</v>
      </c>
      <c r="B22" s="61"/>
      <c r="C22" s="187"/>
      <c r="D22" s="5"/>
      <c r="E22" s="13">
        <f t="shared" si="1"/>
        <v>0</v>
      </c>
    </row>
    <row r="23" spans="1:6">
      <c r="A23" s="3" t="s">
        <v>20</v>
      </c>
      <c r="B23" s="61"/>
      <c r="C23" s="187"/>
      <c r="D23" s="5"/>
      <c r="E23" s="13">
        <f t="shared" si="1"/>
        <v>0</v>
      </c>
      <c r="F23" s="203"/>
    </row>
    <row r="24" spans="1:6">
      <c r="A24" s="3" t="s">
        <v>21</v>
      </c>
      <c r="B24" s="61"/>
      <c r="C24" s="187"/>
      <c r="D24" s="5"/>
      <c r="E24" s="13">
        <f t="shared" si="1"/>
        <v>0</v>
      </c>
      <c r="F24" s="203"/>
    </row>
    <row r="26" spans="1:6">
      <c r="A26" s="7" t="s">
        <v>41</v>
      </c>
      <c r="D26" s="6"/>
    </row>
    <row r="27" spans="1:6">
      <c r="A27" s="8" t="s">
        <v>0</v>
      </c>
      <c r="B27" s="8" t="s">
        <v>1</v>
      </c>
      <c r="C27" s="186" t="s">
        <v>2</v>
      </c>
      <c r="D27" s="8" t="s">
        <v>3</v>
      </c>
      <c r="E27" s="8" t="s">
        <v>12</v>
      </c>
    </row>
    <row r="28" spans="1:6">
      <c r="A28" s="3" t="s">
        <v>9</v>
      </c>
      <c r="B28" s="61"/>
      <c r="C28" s="187"/>
      <c r="D28" s="13"/>
      <c r="E28" s="13">
        <f>D28</f>
        <v>0</v>
      </c>
      <c r="F28" s="203"/>
    </row>
    <row r="29" spans="1:6">
      <c r="A29" s="3" t="s">
        <v>23</v>
      </c>
      <c r="B29" s="61"/>
      <c r="C29" s="187"/>
      <c r="D29" s="13"/>
      <c r="E29" s="13">
        <f t="shared" ref="E29:E38" si="2">D29</f>
        <v>0</v>
      </c>
      <c r="F29" s="203"/>
    </row>
    <row r="30" spans="1:6">
      <c r="A30" s="3" t="s">
        <v>24</v>
      </c>
      <c r="B30" s="61"/>
      <c r="C30" s="187"/>
      <c r="D30" s="13"/>
      <c r="E30" s="13">
        <f t="shared" si="2"/>
        <v>0</v>
      </c>
      <c r="F30" s="203"/>
    </row>
    <row r="31" spans="1:6">
      <c r="A31" s="3" t="s">
        <v>8</v>
      </c>
      <c r="B31" s="61"/>
      <c r="C31" s="187"/>
      <c r="D31" s="13"/>
      <c r="E31" s="13">
        <f t="shared" si="2"/>
        <v>0</v>
      </c>
      <c r="F31" s="203"/>
    </row>
    <row r="32" spans="1:6">
      <c r="A32" s="3" t="s">
        <v>14</v>
      </c>
      <c r="B32" s="61"/>
      <c r="C32" s="187"/>
      <c r="D32" s="5"/>
      <c r="E32" s="13">
        <f t="shared" si="2"/>
        <v>0</v>
      </c>
    </row>
    <row r="33" spans="1:6">
      <c r="A33" s="3" t="s">
        <v>39</v>
      </c>
      <c r="B33" s="61"/>
      <c r="C33" s="187"/>
      <c r="D33" s="5"/>
      <c r="E33" s="13">
        <f t="shared" si="2"/>
        <v>0</v>
      </c>
    </row>
    <row r="34" spans="1:6">
      <c r="A34" s="3" t="s">
        <v>16</v>
      </c>
      <c r="B34" s="61"/>
      <c r="C34" s="187"/>
      <c r="D34" s="6"/>
      <c r="E34" s="13">
        <f t="shared" si="2"/>
        <v>0</v>
      </c>
    </row>
    <row r="35" spans="1:6">
      <c r="A35" s="3" t="s">
        <v>17</v>
      </c>
      <c r="B35" s="61"/>
      <c r="C35" s="187"/>
      <c r="D35" s="13"/>
      <c r="E35" s="13">
        <f t="shared" si="2"/>
        <v>0</v>
      </c>
    </row>
    <row r="36" spans="1:6">
      <c r="A36" s="3" t="s">
        <v>18</v>
      </c>
      <c r="B36" s="61"/>
      <c r="C36" s="187"/>
      <c r="D36" s="13"/>
      <c r="E36" s="13">
        <f t="shared" si="2"/>
        <v>0</v>
      </c>
    </row>
    <row r="37" spans="1:6">
      <c r="A37" s="3" t="s">
        <v>19</v>
      </c>
      <c r="B37" s="61"/>
      <c r="C37" s="187"/>
      <c r="D37" s="5"/>
      <c r="E37" s="13">
        <f t="shared" si="2"/>
        <v>0</v>
      </c>
    </row>
    <row r="38" spans="1:6">
      <c r="A38" s="3" t="s">
        <v>20</v>
      </c>
      <c r="B38" s="61"/>
      <c r="C38" s="187"/>
      <c r="D38" s="13"/>
      <c r="E38" s="13">
        <f t="shared" si="2"/>
        <v>0</v>
      </c>
    </row>
    <row r="39" spans="1:6">
      <c r="A39" s="3" t="s">
        <v>21</v>
      </c>
      <c r="B39" s="61"/>
      <c r="C39" s="187"/>
      <c r="D39" s="5"/>
      <c r="E39" s="13">
        <f>D39</f>
        <v>0</v>
      </c>
      <c r="F39" s="204"/>
    </row>
    <row r="41" spans="1:6">
      <c r="A41" s="7" t="s">
        <v>42</v>
      </c>
    </row>
    <row r="42" spans="1:6">
      <c r="A42" s="8" t="s">
        <v>0</v>
      </c>
      <c r="B42" s="8" t="s">
        <v>1</v>
      </c>
      <c r="C42" s="186" t="s">
        <v>2</v>
      </c>
      <c r="D42" s="8" t="s">
        <v>3</v>
      </c>
      <c r="E42" s="8" t="s">
        <v>12</v>
      </c>
    </row>
    <row r="43" spans="1:6">
      <c r="A43" s="3" t="s">
        <v>9</v>
      </c>
      <c r="B43" s="61"/>
      <c r="C43" s="187"/>
      <c r="D43" s="5"/>
      <c r="E43" s="13">
        <f>D43</f>
        <v>0</v>
      </c>
    </row>
    <row r="44" spans="1:6">
      <c r="A44" s="3" t="s">
        <v>23</v>
      </c>
      <c r="B44" s="61"/>
      <c r="C44" s="58"/>
      <c r="D44" s="5"/>
      <c r="E44" s="13">
        <f t="shared" ref="E44:E54" si="3">D44</f>
        <v>0</v>
      </c>
    </row>
    <row r="45" spans="1:6">
      <c r="A45" s="3" t="s">
        <v>24</v>
      </c>
      <c r="B45" s="61"/>
      <c r="C45" s="191"/>
      <c r="D45" s="5"/>
      <c r="E45" s="13">
        <f t="shared" si="3"/>
        <v>0</v>
      </c>
    </row>
    <row r="46" spans="1:6">
      <c r="A46" s="190" t="s">
        <v>25</v>
      </c>
      <c r="B46" s="61"/>
      <c r="C46" s="58"/>
      <c r="D46" s="5"/>
      <c r="E46" s="13">
        <f t="shared" si="3"/>
        <v>0</v>
      </c>
      <c r="F46" s="204"/>
    </row>
    <row r="47" spans="1:6">
      <c r="A47" s="190" t="s">
        <v>14</v>
      </c>
      <c r="B47" s="61"/>
      <c r="C47" s="58"/>
      <c r="D47" s="5"/>
      <c r="E47" s="13">
        <f>D47</f>
        <v>0</v>
      </c>
      <c r="F47" s="204"/>
    </row>
    <row r="48" spans="1:6">
      <c r="A48" s="3" t="s">
        <v>15</v>
      </c>
      <c r="B48" s="61"/>
      <c r="C48" s="58"/>
      <c r="D48" s="5"/>
      <c r="E48" s="13">
        <f>D47</f>
        <v>0</v>
      </c>
      <c r="F48" s="204"/>
    </row>
    <row r="49" spans="1:6">
      <c r="A49" s="3" t="s">
        <v>16</v>
      </c>
      <c r="B49" s="61"/>
      <c r="C49" s="187"/>
      <c r="D49" s="5"/>
      <c r="E49" s="13">
        <f>D48</f>
        <v>0</v>
      </c>
      <c r="F49" s="204"/>
    </row>
    <row r="50" spans="1:6">
      <c r="A50" s="190" t="s">
        <v>17</v>
      </c>
      <c r="B50" s="61"/>
      <c r="C50" s="187"/>
      <c r="D50" s="5"/>
      <c r="E50" s="13">
        <f>D50</f>
        <v>0</v>
      </c>
    </row>
    <row r="51" spans="1:6">
      <c r="A51" s="3" t="s">
        <v>18</v>
      </c>
      <c r="B51" s="61"/>
      <c r="C51" s="239"/>
      <c r="D51" s="66"/>
      <c r="E51" s="13">
        <f>D51</f>
        <v>0</v>
      </c>
    </row>
    <row r="52" spans="1:6">
      <c r="A52" s="3" t="s">
        <v>19</v>
      </c>
      <c r="B52" s="61"/>
      <c r="C52" s="240"/>
      <c r="D52" s="238"/>
      <c r="E52" s="13">
        <f t="shared" si="3"/>
        <v>0</v>
      </c>
    </row>
    <row r="53" spans="1:6">
      <c r="A53" s="3" t="s">
        <v>20</v>
      </c>
      <c r="B53" s="61"/>
      <c r="C53" s="239"/>
      <c r="D53" s="66"/>
      <c r="E53" s="13">
        <f t="shared" si="3"/>
        <v>0</v>
      </c>
    </row>
    <row r="54" spans="1:6">
      <c r="A54" s="3" t="s">
        <v>21</v>
      </c>
      <c r="B54" s="61"/>
      <c r="C54" s="239"/>
      <c r="D54" s="66"/>
      <c r="E54" s="13">
        <f t="shared" si="3"/>
        <v>0</v>
      </c>
    </row>
    <row r="56" spans="1:6">
      <c r="A56" s="7" t="s">
        <v>65</v>
      </c>
      <c r="B56" s="4"/>
    </row>
    <row r="57" spans="1:6">
      <c r="A57" s="8" t="s">
        <v>0</v>
      </c>
      <c r="B57" s="8" t="s">
        <v>1</v>
      </c>
      <c r="C57" s="186" t="s">
        <v>2</v>
      </c>
      <c r="D57" s="8" t="s">
        <v>3</v>
      </c>
      <c r="E57" s="8" t="s">
        <v>12</v>
      </c>
    </row>
    <row r="58" spans="1:6">
      <c r="A58" s="3" t="s">
        <v>9</v>
      </c>
      <c r="B58" s="61"/>
      <c r="C58" s="239"/>
      <c r="D58" s="66"/>
      <c r="E58" s="13">
        <f t="shared" ref="E58:E69" si="4">D58</f>
        <v>0</v>
      </c>
      <c r="F58" s="204"/>
    </row>
    <row r="59" spans="1:6">
      <c r="A59" s="3" t="s">
        <v>23</v>
      </c>
      <c r="B59" s="61"/>
      <c r="C59" s="239"/>
      <c r="D59" s="66"/>
      <c r="E59" s="13">
        <f t="shared" si="4"/>
        <v>0</v>
      </c>
    </row>
    <row r="60" spans="1:6">
      <c r="A60" s="3" t="s">
        <v>24</v>
      </c>
      <c r="B60" s="61"/>
      <c r="C60" s="239"/>
      <c r="D60" s="66"/>
      <c r="E60" s="13">
        <f t="shared" si="4"/>
        <v>0</v>
      </c>
    </row>
    <row r="61" spans="1:6">
      <c r="A61" s="190" t="s">
        <v>25</v>
      </c>
      <c r="B61" s="61"/>
      <c r="C61" s="239"/>
      <c r="D61" s="66"/>
      <c r="E61" s="13">
        <f t="shared" si="4"/>
        <v>0</v>
      </c>
    </row>
    <row r="62" spans="1:6">
      <c r="A62" s="190" t="s">
        <v>14</v>
      </c>
      <c r="B62" s="61"/>
      <c r="C62" s="239"/>
      <c r="D62" s="66"/>
      <c r="E62" s="13">
        <f t="shared" si="4"/>
        <v>0</v>
      </c>
    </row>
    <row r="63" spans="1:6">
      <c r="A63" s="3" t="s">
        <v>15</v>
      </c>
      <c r="B63" s="61"/>
      <c r="C63" s="239"/>
      <c r="D63" s="66"/>
      <c r="E63" s="13">
        <f t="shared" si="4"/>
        <v>0</v>
      </c>
    </row>
    <row r="64" spans="1:6">
      <c r="A64" s="3" t="s">
        <v>16</v>
      </c>
      <c r="B64" s="61"/>
      <c r="C64" s="239"/>
      <c r="D64" s="66"/>
      <c r="E64" s="13">
        <f t="shared" si="4"/>
        <v>0</v>
      </c>
    </row>
    <row r="65" spans="1:5">
      <c r="A65" s="190" t="s">
        <v>17</v>
      </c>
      <c r="B65" s="61"/>
      <c r="C65" s="239"/>
      <c r="D65" s="66"/>
      <c r="E65" s="13">
        <f t="shared" si="4"/>
        <v>0</v>
      </c>
    </row>
    <row r="66" spans="1:5">
      <c r="A66" s="3" t="s">
        <v>18</v>
      </c>
      <c r="B66" s="61"/>
      <c r="C66" s="239"/>
      <c r="D66" s="66"/>
      <c r="E66" s="13">
        <f t="shared" si="4"/>
        <v>0</v>
      </c>
    </row>
    <row r="67" spans="1:5">
      <c r="A67" s="3" t="s">
        <v>19</v>
      </c>
      <c r="B67" s="61"/>
      <c r="C67" s="239"/>
      <c r="D67" s="66"/>
      <c r="E67" s="13">
        <f t="shared" si="4"/>
        <v>0</v>
      </c>
    </row>
    <row r="68" spans="1:5">
      <c r="A68" s="3" t="s">
        <v>20</v>
      </c>
      <c r="B68" s="61"/>
      <c r="C68" s="239"/>
      <c r="D68" s="66"/>
      <c r="E68" s="13">
        <f t="shared" si="4"/>
        <v>0</v>
      </c>
    </row>
    <row r="69" spans="1:5">
      <c r="A69" s="3" t="s">
        <v>21</v>
      </c>
      <c r="B69" s="61"/>
      <c r="C69" s="239"/>
      <c r="D69" s="66"/>
      <c r="E69" s="13">
        <f t="shared" si="4"/>
        <v>0</v>
      </c>
    </row>
    <row r="71" spans="1:5">
      <c r="A71" s="7" t="s">
        <v>67</v>
      </c>
    </row>
    <row r="72" spans="1:5">
      <c r="A72" s="8" t="s">
        <v>0</v>
      </c>
      <c r="B72" s="8" t="s">
        <v>1</v>
      </c>
      <c r="C72" s="186" t="s">
        <v>2</v>
      </c>
      <c r="D72" s="8" t="s">
        <v>3</v>
      </c>
      <c r="E72" s="8" t="s">
        <v>12</v>
      </c>
    </row>
    <row r="73" spans="1:5">
      <c r="A73" s="3" t="s">
        <v>9</v>
      </c>
      <c r="B73" s="61"/>
      <c r="D73" s="66"/>
      <c r="E73" s="13">
        <f t="shared" ref="E73:E82" si="5">D73</f>
        <v>0</v>
      </c>
    </row>
    <row r="74" spans="1:5">
      <c r="A74" s="3" t="s">
        <v>23</v>
      </c>
      <c r="B74" s="61"/>
      <c r="C74" s="239"/>
      <c r="D74" s="66"/>
      <c r="E74" s="13">
        <f t="shared" si="5"/>
        <v>0</v>
      </c>
    </row>
    <row r="75" spans="1:5">
      <c r="A75" s="3" t="s">
        <v>24</v>
      </c>
      <c r="B75" s="61"/>
      <c r="C75" s="188"/>
      <c r="D75" s="66"/>
      <c r="E75" s="13">
        <f t="shared" si="5"/>
        <v>0</v>
      </c>
    </row>
    <row r="76" spans="1:5">
      <c r="A76" s="190" t="s">
        <v>25</v>
      </c>
      <c r="B76" s="61"/>
      <c r="C76" s="239"/>
      <c r="D76" s="5"/>
      <c r="E76" s="13">
        <f t="shared" si="5"/>
        <v>0</v>
      </c>
    </row>
    <row r="77" spans="1:5">
      <c r="A77" s="190" t="s">
        <v>14</v>
      </c>
      <c r="B77" s="61"/>
      <c r="C77" s="187"/>
      <c r="D77" s="5"/>
      <c r="E77" s="13">
        <f t="shared" si="5"/>
        <v>0</v>
      </c>
    </row>
    <row r="78" spans="1:5">
      <c r="A78" s="3" t="s">
        <v>15</v>
      </c>
      <c r="B78" s="61"/>
      <c r="C78" s="187"/>
      <c r="D78" s="5"/>
      <c r="E78" s="13">
        <f t="shared" si="5"/>
        <v>0</v>
      </c>
    </row>
    <row r="79" spans="1:5">
      <c r="A79" s="3" t="s">
        <v>16</v>
      </c>
      <c r="B79" s="61"/>
      <c r="C79" s="187"/>
      <c r="D79" s="5"/>
      <c r="E79" s="13">
        <f t="shared" si="5"/>
        <v>0</v>
      </c>
    </row>
    <row r="80" spans="1:5">
      <c r="A80" s="190" t="s">
        <v>17</v>
      </c>
      <c r="B80" s="61"/>
      <c r="C80" s="187"/>
      <c r="D80" s="5"/>
      <c r="E80" s="13">
        <f t="shared" si="5"/>
        <v>0</v>
      </c>
    </row>
    <row r="81" spans="1:5">
      <c r="A81" s="3" t="s">
        <v>18</v>
      </c>
      <c r="B81" s="61"/>
      <c r="C81" s="187"/>
      <c r="D81" s="5"/>
      <c r="E81" s="13">
        <f t="shared" si="5"/>
        <v>0</v>
      </c>
    </row>
    <row r="82" spans="1:5">
      <c r="A82" s="3" t="s">
        <v>19</v>
      </c>
      <c r="B82" s="61"/>
      <c r="C82" s="187"/>
      <c r="D82" s="5"/>
      <c r="E82" s="13">
        <f t="shared" si="5"/>
        <v>0</v>
      </c>
    </row>
    <row r="83" spans="1:5">
      <c r="A83" s="3" t="s">
        <v>20</v>
      </c>
      <c r="B83" s="61"/>
      <c r="C83" s="187"/>
      <c r="D83" s="5"/>
      <c r="E83" s="13">
        <f>D83</f>
        <v>0</v>
      </c>
    </row>
    <row r="84" spans="1:5">
      <c r="A84" s="3" t="s">
        <v>21</v>
      </c>
      <c r="B84" s="61"/>
      <c r="C84" s="187"/>
      <c r="D84" s="5"/>
      <c r="E84" s="13">
        <f>D84</f>
        <v>0</v>
      </c>
    </row>
    <row r="86" spans="1:5">
      <c r="A86" s="7" t="s">
        <v>306</v>
      </c>
    </row>
    <row r="87" spans="1:5">
      <c r="A87" s="8" t="s">
        <v>0</v>
      </c>
      <c r="B87" s="8" t="s">
        <v>1</v>
      </c>
      <c r="C87" s="186" t="s">
        <v>2</v>
      </c>
      <c r="D87" s="8" t="s">
        <v>3</v>
      </c>
      <c r="E87" s="8" t="s">
        <v>12</v>
      </c>
    </row>
    <row r="88" spans="1:5">
      <c r="A88" s="3" t="s">
        <v>9</v>
      </c>
      <c r="B88" s="61"/>
      <c r="C88" s="188"/>
      <c r="D88" s="66"/>
      <c r="E88" s="13">
        <f t="shared" ref="E88:E99" si="6">D88</f>
        <v>0</v>
      </c>
    </row>
    <row r="89" spans="1:5">
      <c r="A89" s="3" t="s">
        <v>23</v>
      </c>
      <c r="B89" s="61"/>
      <c r="C89" s="187"/>
      <c r="D89" s="5"/>
      <c r="E89" s="13">
        <f t="shared" si="6"/>
        <v>0</v>
      </c>
    </row>
    <row r="90" spans="1:5">
      <c r="A90" s="3" t="s">
        <v>24</v>
      </c>
      <c r="B90" s="61"/>
      <c r="C90" s="187"/>
      <c r="D90" s="5"/>
      <c r="E90" s="13">
        <f t="shared" si="6"/>
        <v>0</v>
      </c>
    </row>
    <row r="91" spans="1:5">
      <c r="A91" s="190" t="s">
        <v>25</v>
      </c>
      <c r="B91" s="61"/>
      <c r="C91" s="187"/>
      <c r="D91" s="5"/>
      <c r="E91" s="13">
        <f t="shared" si="6"/>
        <v>0</v>
      </c>
    </row>
    <row r="92" spans="1:5">
      <c r="A92" s="190" t="s">
        <v>14</v>
      </c>
      <c r="B92" s="61"/>
      <c r="C92" s="187"/>
      <c r="D92" s="5"/>
      <c r="E92" s="13">
        <f t="shared" si="6"/>
        <v>0</v>
      </c>
    </row>
    <row r="93" spans="1:5">
      <c r="A93" s="3" t="s">
        <v>15</v>
      </c>
      <c r="B93" s="61"/>
      <c r="C93" s="187"/>
      <c r="D93" s="5"/>
      <c r="E93" s="13">
        <f t="shared" si="6"/>
        <v>0</v>
      </c>
    </row>
    <row r="94" spans="1:5">
      <c r="A94" s="3" t="s">
        <v>16</v>
      </c>
      <c r="B94" s="61"/>
      <c r="C94" s="58"/>
      <c r="D94" s="5"/>
      <c r="E94" s="13">
        <f t="shared" si="6"/>
        <v>0</v>
      </c>
    </row>
    <row r="95" spans="1:5">
      <c r="A95" s="190" t="s">
        <v>17</v>
      </c>
      <c r="B95" s="61"/>
      <c r="C95" s="58"/>
      <c r="D95" s="5"/>
      <c r="E95" s="13">
        <f t="shared" si="6"/>
        <v>0</v>
      </c>
    </row>
    <row r="96" spans="1:5">
      <c r="A96" s="3" t="s">
        <v>18</v>
      </c>
      <c r="B96" s="61"/>
      <c r="C96" s="58"/>
      <c r="D96" s="5"/>
      <c r="E96" s="13">
        <f t="shared" si="6"/>
        <v>0</v>
      </c>
    </row>
    <row r="97" spans="1:5">
      <c r="A97" s="3" t="s">
        <v>19</v>
      </c>
      <c r="B97" s="61"/>
      <c r="C97" s="58"/>
      <c r="D97" s="5"/>
      <c r="E97" s="13">
        <f t="shared" si="6"/>
        <v>0</v>
      </c>
    </row>
    <row r="98" spans="1:5">
      <c r="A98" s="3" t="s">
        <v>20</v>
      </c>
      <c r="B98" s="61"/>
      <c r="C98" s="58"/>
      <c r="D98" s="5"/>
      <c r="E98" s="13">
        <f t="shared" si="6"/>
        <v>0</v>
      </c>
    </row>
    <row r="99" spans="1:5">
      <c r="A99" s="3" t="s">
        <v>21</v>
      </c>
      <c r="B99" s="61"/>
      <c r="C99" s="58"/>
      <c r="D99" s="5"/>
      <c r="E99" s="13">
        <f t="shared" si="6"/>
        <v>0</v>
      </c>
    </row>
  </sheetData>
  <phoneticPr fontId="12" type="noConversion"/>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7"/>
  <dimension ref="A1:I102"/>
  <sheetViews>
    <sheetView topLeftCell="A37" zoomScale="103" workbookViewId="0">
      <selection activeCell="E52" sqref="E52"/>
    </sheetView>
  </sheetViews>
  <sheetFormatPr baseColWidth="10" defaultColWidth="11.42578125" defaultRowHeight="15.75"/>
  <cols>
    <col min="1" max="1" width="18.140625" style="1" customWidth="1"/>
    <col min="2" max="2" width="18.140625" style="1" hidden="1" customWidth="1"/>
    <col min="3" max="3" width="16.5703125" style="1" bestFit="1" customWidth="1"/>
    <col min="4" max="4" width="19.140625" style="15" bestFit="1" customWidth="1"/>
    <col min="5" max="5" width="21.42578125" style="2" customWidth="1"/>
    <col min="6" max="6" width="19.42578125" style="28" customWidth="1"/>
    <col min="7" max="7" width="14.5703125" style="1" customWidth="1"/>
    <col min="8" max="8" width="17.7109375" style="1" bestFit="1" customWidth="1"/>
    <col min="9" max="9" width="14.7109375" style="1" bestFit="1" customWidth="1"/>
    <col min="10" max="16384" width="11.42578125" style="1"/>
  </cols>
  <sheetData>
    <row r="1" spans="1:8">
      <c r="A1" s="176" t="s">
        <v>348</v>
      </c>
      <c r="B1" s="177"/>
      <c r="C1" s="178">
        <v>9</v>
      </c>
      <c r="D1" s="16"/>
      <c r="E1" s="18"/>
      <c r="F1" s="27"/>
      <c r="G1" s="10"/>
    </row>
    <row r="2" spans="1:8">
      <c r="A2" s="10"/>
      <c r="B2" s="10"/>
      <c r="C2" s="10"/>
      <c r="D2" s="16"/>
      <c r="E2" s="18"/>
      <c r="F2" s="27"/>
      <c r="G2" s="10"/>
    </row>
    <row r="3" spans="1:8">
      <c r="A3" s="10"/>
      <c r="B3" s="10"/>
      <c r="C3" s="10"/>
      <c r="D3" s="16"/>
      <c r="E3" s="18"/>
      <c r="F3" s="27"/>
      <c r="G3" s="10"/>
    </row>
    <row r="4" spans="1:8">
      <c r="A4" s="146">
        <v>2019</v>
      </c>
      <c r="B4" s="146"/>
      <c r="C4" s="10"/>
      <c r="D4" s="147"/>
      <c r="E4" s="18"/>
      <c r="F4" s="27"/>
      <c r="G4" s="10"/>
    </row>
    <row r="5" spans="1:8" ht="63">
      <c r="A5" s="148" t="s">
        <v>0</v>
      </c>
      <c r="B5" s="148"/>
      <c r="C5" s="149" t="s">
        <v>1</v>
      </c>
      <c r="D5" s="150" t="s">
        <v>2</v>
      </c>
      <c r="E5" s="148" t="s">
        <v>3</v>
      </c>
      <c r="F5" s="148" t="s">
        <v>4</v>
      </c>
      <c r="G5" s="148" t="s">
        <v>5</v>
      </c>
    </row>
    <row r="6" spans="1:8">
      <c r="A6" s="3" t="s">
        <v>16</v>
      </c>
      <c r="B6" s="3" t="str">
        <f t="shared" ref="B6:B11" si="0">CONCATENATE(A6,$C$1)</f>
        <v>Julio9</v>
      </c>
      <c r="C6" s="151"/>
      <c r="D6" s="152"/>
      <c r="E6" s="5"/>
      <c r="F6" s="68">
        <f>VLOOKUP(B6,'Calendario Tributario'!$D$3:$K$122,3,0)</f>
        <v>43689</v>
      </c>
      <c r="G6" s="153">
        <f>IF(E6-F6&gt;0,E6-F6,0)</f>
        <v>0</v>
      </c>
      <c r="H6" s="1" t="str">
        <f>IF(AND(EOMONTH(DATE($A$4,MONTH("1-"&amp;A6&amp;"-"&amp;$A$4),1),0)&gt;=Generales!$B$4,DATE($A$4,MONTH("1-"&amp;A6&amp;"-"&amp;$A$4),1)&lt;=Generales!$C$4),"","FUERA DE RANGO")</f>
        <v>FUERA DE RANGO</v>
      </c>
    </row>
    <row r="7" spans="1:8">
      <c r="A7" s="3" t="s">
        <v>17</v>
      </c>
      <c r="B7" s="3" t="str">
        <f t="shared" si="0"/>
        <v>Agosto9</v>
      </c>
      <c r="C7" s="151"/>
      <c r="D7" s="152"/>
      <c r="E7" s="5"/>
      <c r="F7" s="68">
        <f>VLOOKUP(B7,'Calendario Tributario'!$D$3:$K$122,3,0)</f>
        <v>43719</v>
      </c>
      <c r="G7" s="153">
        <f t="shared" ref="G7:G11" si="1">IF(E7-F7&gt;0,E7-F7,0)</f>
        <v>0</v>
      </c>
      <c r="H7" s="1" t="str">
        <f>IF(AND(EOMONTH(DATE($A$4,MONTH("1-"&amp;A7&amp;"-"&amp;$A$4),1),0)&gt;=Generales!$B$4,DATE($A$4,MONTH("1-"&amp;A7&amp;"-"&amp;$A$4),1)&lt;=Generales!$C$4),"","FUERA DE RANGO")</f>
        <v>FUERA DE RANGO</v>
      </c>
    </row>
    <row r="8" spans="1:8">
      <c r="A8" s="3" t="s">
        <v>18</v>
      </c>
      <c r="B8" s="3" t="str">
        <f t="shared" si="0"/>
        <v>Septiembre9</v>
      </c>
      <c r="C8" s="151"/>
      <c r="D8" s="152"/>
      <c r="E8" s="5"/>
      <c r="F8" s="68">
        <f>VLOOKUP(B8,'Calendario Tributario'!$D$3:$K$122,3,0)</f>
        <v>43747</v>
      </c>
      <c r="G8" s="153">
        <f t="shared" si="1"/>
        <v>0</v>
      </c>
      <c r="H8" s="1" t="str">
        <f>IF(AND(EOMONTH(DATE($A$4,MONTH("1-"&amp;A8&amp;"-"&amp;$A$4),1),0)&gt;=Generales!$B$4,DATE($A$4,MONTH("1-"&amp;A8&amp;"-"&amp;$A$4),1)&lt;=Generales!$C$4),"","FUERA DE RANGO")</f>
        <v>FUERA DE RANGO</v>
      </c>
    </row>
    <row r="9" spans="1:8">
      <c r="A9" s="3" t="s">
        <v>19</v>
      </c>
      <c r="B9" s="3" t="str">
        <f t="shared" si="0"/>
        <v>Octubre9</v>
      </c>
      <c r="C9" s="151"/>
      <c r="D9" s="152"/>
      <c r="E9" s="5"/>
      <c r="F9" s="68">
        <f>VLOOKUP(B9,'Calendario Tributario'!$D$3:$K$122,3,0)</f>
        <v>43782</v>
      </c>
      <c r="G9" s="153">
        <f t="shared" si="1"/>
        <v>0</v>
      </c>
      <c r="H9" s="1" t="str">
        <f>IF(AND(EOMONTH(DATE($A$4,MONTH("1-"&amp;A9&amp;"-"&amp;$A$4),1),0)&gt;=Generales!$B$4,DATE($A$4,MONTH("1-"&amp;A9&amp;"-"&amp;$A$4),1)&lt;=Generales!$C$4),"","FUERA DE RANGO")</f>
        <v>FUERA DE RANGO</v>
      </c>
    </row>
    <row r="10" spans="1:8">
      <c r="A10" s="3" t="s">
        <v>20</v>
      </c>
      <c r="B10" s="3" t="str">
        <f t="shared" si="0"/>
        <v>Noviembre9</v>
      </c>
      <c r="C10" s="151"/>
      <c r="D10" s="152"/>
      <c r="E10" s="5"/>
      <c r="F10" s="68">
        <f>VLOOKUP(B10,'Calendario Tributario'!$D$3:$K$122,3,0)</f>
        <v>43810</v>
      </c>
      <c r="G10" s="153">
        <f t="shared" si="1"/>
        <v>0</v>
      </c>
      <c r="H10" s="1" t="str">
        <f>IF(AND(EOMONTH(DATE($A$4,MONTH("1-"&amp;A10&amp;"-"&amp;$A$4),1),0)&gt;=Generales!$B$4,DATE($A$4,MONTH("1-"&amp;A10&amp;"-"&amp;$A$4),1)&lt;=Generales!$C$4),"","FUERA DE RANGO")</f>
        <v>FUERA DE RANGO</v>
      </c>
    </row>
    <row r="11" spans="1:8">
      <c r="A11" s="3" t="s">
        <v>21</v>
      </c>
      <c r="B11" s="3" t="str">
        <f t="shared" si="0"/>
        <v>Diciembre9</v>
      </c>
      <c r="C11" s="151"/>
      <c r="D11" s="152"/>
      <c r="E11" s="5"/>
      <c r="F11" s="68">
        <f>VLOOKUP(B11,'Calendario Tributario'!$D$3:$K$122,3,0)</f>
        <v>43843</v>
      </c>
      <c r="G11" s="153">
        <f t="shared" si="1"/>
        <v>0</v>
      </c>
      <c r="H11" s="1" t="str">
        <f>IF(AND(EOMONTH(DATE($A$4,MONTH("1-"&amp;A11&amp;"-"&amp;$A$4),1),0)&gt;=Generales!$B$4,DATE($A$4,MONTH("1-"&amp;A11&amp;"-"&amp;$A$4),1)&lt;=Generales!$C$4),"","FUERA DE RANGO")</f>
        <v>FUERA DE RANGO</v>
      </c>
    </row>
    <row r="12" spans="1:8">
      <c r="C12" s="154"/>
      <c r="D12" s="59"/>
    </row>
    <row r="13" spans="1:8">
      <c r="A13" s="146">
        <v>2020</v>
      </c>
      <c r="B13" s="146"/>
      <c r="C13" s="10"/>
      <c r="D13" s="147"/>
      <c r="E13" s="18"/>
      <c r="F13" s="27"/>
      <c r="G13" s="10"/>
    </row>
    <row r="14" spans="1:8" ht="63">
      <c r="A14" s="155" t="s">
        <v>0</v>
      </c>
      <c r="B14" s="155"/>
      <c r="C14" s="156" t="s">
        <v>1</v>
      </c>
      <c r="D14" s="157" t="s">
        <v>2</v>
      </c>
      <c r="E14" s="148" t="s">
        <v>3</v>
      </c>
      <c r="F14" s="148" t="s">
        <v>4</v>
      </c>
      <c r="G14" s="148" t="s">
        <v>5</v>
      </c>
    </row>
    <row r="15" spans="1:8">
      <c r="A15" s="158" t="s">
        <v>22</v>
      </c>
      <c r="B15" s="3" t="str">
        <f t="shared" ref="B15:B26" si="2">CONCATENATE(A15,$C$1)</f>
        <v>Enero9</v>
      </c>
      <c r="C15" s="151"/>
      <c r="D15" s="159"/>
      <c r="E15" s="160"/>
      <c r="F15" s="68">
        <f>VLOOKUP(B15,'Calendario Tributario'!$D$3:$K$122,4,0)</f>
        <v>43873</v>
      </c>
      <c r="G15" s="153">
        <f>IF(E15-F15&gt;0,E15-F15,0)</f>
        <v>0</v>
      </c>
      <c r="H15" s="1" t="str">
        <f>IF(AND(EOMONTH(DATE($A$13,MONTH("1-"&amp;A15&amp;"-"&amp;$A$13),1),0)&gt;=Generales!$B$4,DATE($A$13,MONTH("1-"&amp;A15&amp;"-"&amp;$A$13),1)&lt;=Generales!$C$4),"","FUERA DE RANGO")</f>
        <v>FUERA DE RANGO</v>
      </c>
    </row>
    <row r="16" spans="1:8">
      <c r="A16" s="158" t="s">
        <v>23</v>
      </c>
      <c r="B16" s="3" t="str">
        <f t="shared" si="2"/>
        <v>Febrero9</v>
      </c>
      <c r="C16" s="151"/>
      <c r="D16" s="162"/>
      <c r="E16" s="163"/>
      <c r="F16" s="68">
        <f>VLOOKUP(B16,'Calendario Tributario'!$D$3:$K$122,4,0)</f>
        <v>43901</v>
      </c>
      <c r="G16" s="161">
        <f t="shared" ref="G16:G26" si="3">IF(E16-F16&lt;0,0,E16-F16)</f>
        <v>0</v>
      </c>
      <c r="H16" s="1" t="str">
        <f>IF(AND(EOMONTH(DATE($A$13,MONTH("1-"&amp;A16&amp;"-"&amp;$A$13),1),0)&gt;=Generales!$B$4,DATE($A$13,MONTH("1-"&amp;A16&amp;"-"&amp;$A$13),1)&lt;=Generales!$C$4),"","FUERA DE RANGO")</f>
        <v>FUERA DE RANGO</v>
      </c>
    </row>
    <row r="17" spans="1:8">
      <c r="A17" s="158" t="s">
        <v>24</v>
      </c>
      <c r="B17" s="3" t="str">
        <f t="shared" si="2"/>
        <v>Marzo9</v>
      </c>
      <c r="C17" s="151"/>
      <c r="D17" s="164"/>
      <c r="E17" s="165"/>
      <c r="F17" s="68">
        <f>VLOOKUP(B17,'Calendario Tributario'!$D$3:$K$122,4,0)</f>
        <v>43936</v>
      </c>
      <c r="G17" s="161">
        <f t="shared" si="3"/>
        <v>0</v>
      </c>
      <c r="H17" s="1" t="str">
        <f>IF(AND(EOMONTH(DATE($A$13,MONTH("1-"&amp;A17&amp;"-"&amp;$A$13),1),0)&gt;=Generales!$B$4,DATE($A$13,MONTH("1-"&amp;A17&amp;"-"&amp;$A$13),1)&lt;=Generales!$C$4),"","FUERA DE RANGO")</f>
        <v>FUERA DE RANGO</v>
      </c>
    </row>
    <row r="18" spans="1:8">
      <c r="A18" s="3" t="s">
        <v>25</v>
      </c>
      <c r="B18" s="3" t="str">
        <f t="shared" si="2"/>
        <v>Abril9</v>
      </c>
      <c r="C18" s="151"/>
      <c r="D18" s="166"/>
      <c r="E18" s="167"/>
      <c r="F18" s="68">
        <f>VLOOKUP(B18,'Calendario Tributario'!$D$3:$K$122,4,0)</f>
        <v>43964</v>
      </c>
      <c r="G18" s="161">
        <f t="shared" si="3"/>
        <v>0</v>
      </c>
      <c r="H18" s="1" t="str">
        <f>IF(AND(EOMONTH(DATE($A$13,MONTH("1-"&amp;A18&amp;"-"&amp;$A$13),1),0)&gt;=Generales!$B$4,DATE($A$13,MONTH("1-"&amp;A18&amp;"-"&amp;$A$13),1)&lt;=Generales!$C$4),"","FUERA DE RANGO")</f>
        <v>FUERA DE RANGO</v>
      </c>
    </row>
    <row r="19" spans="1:8">
      <c r="A19" s="3" t="s">
        <v>14</v>
      </c>
      <c r="B19" s="3" t="str">
        <f t="shared" si="2"/>
        <v>Mayo9</v>
      </c>
      <c r="C19" s="151"/>
      <c r="D19" s="152"/>
      <c r="E19" s="5"/>
      <c r="F19" s="68">
        <f>VLOOKUP(B19,'Calendario Tributario'!$D$3:$K$122,4,0)</f>
        <v>43992</v>
      </c>
      <c r="G19" s="161">
        <f t="shared" si="3"/>
        <v>0</v>
      </c>
      <c r="H19" s="1" t="str">
        <f>IF(AND(EOMONTH(DATE($A$13,MONTH("1-"&amp;A19&amp;"-"&amp;$A$13),1),0)&gt;=Generales!$B$4,DATE($A$13,MONTH("1-"&amp;A19&amp;"-"&amp;$A$13),1)&lt;=Generales!$C$4),"","FUERA DE RANGO")</f>
        <v>FUERA DE RANGO</v>
      </c>
    </row>
    <row r="20" spans="1:8">
      <c r="A20" s="3" t="s">
        <v>15</v>
      </c>
      <c r="B20" s="3" t="str">
        <f t="shared" si="2"/>
        <v>Junio9</v>
      </c>
      <c r="C20" s="151"/>
      <c r="D20" s="152"/>
      <c r="E20" s="5"/>
      <c r="F20" s="68">
        <f>VLOOKUP(B20,'Calendario Tributario'!$D$3:$K$122,4,0)</f>
        <v>44020</v>
      </c>
      <c r="G20" s="161">
        <f t="shared" si="3"/>
        <v>0</v>
      </c>
      <c r="H20" s="1" t="str">
        <f>IF(AND(EOMONTH(DATE($A$13,MONTH("1-"&amp;A20&amp;"-"&amp;$A$13),1),0)&gt;=Generales!$B$4,DATE($A$13,MONTH("1-"&amp;A20&amp;"-"&amp;$A$13),1)&lt;=Generales!$C$4),"","FUERA DE RANGO")</f>
        <v>FUERA DE RANGO</v>
      </c>
    </row>
    <row r="21" spans="1:8">
      <c r="A21" s="3" t="s">
        <v>16</v>
      </c>
      <c r="B21" s="3" t="str">
        <f t="shared" si="2"/>
        <v>Julio9</v>
      </c>
      <c r="C21" s="151"/>
      <c r="D21" s="152"/>
      <c r="E21" s="5"/>
      <c r="F21" s="68">
        <f>VLOOKUP(B21,'Calendario Tributario'!$D$3:$K$122,4,0)</f>
        <v>44055</v>
      </c>
      <c r="G21" s="161">
        <f t="shared" si="3"/>
        <v>0</v>
      </c>
      <c r="H21" s="1" t="str">
        <f>IF(AND(EOMONTH(DATE($A$13,MONTH("1-"&amp;A21&amp;"-"&amp;$A$13),1),0)&gt;=Generales!$B$4,DATE($A$13,MONTH("1-"&amp;A21&amp;"-"&amp;$A$13),1)&lt;=Generales!$C$4),"","FUERA DE RANGO")</f>
        <v>FUERA DE RANGO</v>
      </c>
    </row>
    <row r="22" spans="1:8">
      <c r="A22" s="3" t="s">
        <v>17</v>
      </c>
      <c r="B22" s="3" t="str">
        <f t="shared" si="2"/>
        <v>Agosto9</v>
      </c>
      <c r="C22" s="151"/>
      <c r="D22" s="152"/>
      <c r="E22" s="5"/>
      <c r="F22" s="68">
        <f>VLOOKUP(B22,'Calendario Tributario'!$D$3:$K$122,4,0)</f>
        <v>44083</v>
      </c>
      <c r="G22" s="161">
        <f t="shared" si="3"/>
        <v>0</v>
      </c>
      <c r="H22" s="1" t="str">
        <f>IF(AND(EOMONTH(DATE($A$13,MONTH("1-"&amp;A22&amp;"-"&amp;$A$13),1),0)&gt;=Generales!$B$4,DATE($A$13,MONTH("1-"&amp;A22&amp;"-"&amp;$A$13),1)&lt;=Generales!$C$4),"","FUERA DE RANGO")</f>
        <v>FUERA DE RANGO</v>
      </c>
    </row>
    <row r="23" spans="1:8">
      <c r="A23" s="3" t="s">
        <v>18</v>
      </c>
      <c r="B23" s="3" t="str">
        <f t="shared" si="2"/>
        <v>Septiembre9</v>
      </c>
      <c r="C23" s="151"/>
      <c r="D23" s="152"/>
      <c r="E23" s="5"/>
      <c r="F23" s="68">
        <f>VLOOKUP(B23,'Calendario Tributario'!$D$3:$K$122,4,0)</f>
        <v>44111</v>
      </c>
      <c r="G23" s="161">
        <f t="shared" si="3"/>
        <v>0</v>
      </c>
      <c r="H23" s="1" t="str">
        <f>IF(AND(EOMONTH(DATE($A$13,MONTH("1-"&amp;A23&amp;"-"&amp;$A$13),1),0)&gt;=Generales!$B$4,DATE($A$13,MONTH("1-"&amp;A23&amp;"-"&amp;$A$13),1)&lt;=Generales!$C$4),"","FUERA DE RANGO")</f>
        <v>FUERA DE RANGO</v>
      </c>
    </row>
    <row r="24" spans="1:8">
      <c r="A24" s="3" t="s">
        <v>19</v>
      </c>
      <c r="B24" s="3" t="str">
        <f t="shared" si="2"/>
        <v>Octubre9</v>
      </c>
      <c r="C24" s="151"/>
      <c r="D24" s="152"/>
      <c r="E24" s="5"/>
      <c r="F24" s="68">
        <f>VLOOKUP(B24,'Calendario Tributario'!$D$3:$K$122,4,0)</f>
        <v>44146</v>
      </c>
      <c r="G24" s="161">
        <f t="shared" si="3"/>
        <v>0</v>
      </c>
      <c r="H24" s="1" t="str">
        <f>IF(AND(EOMONTH(DATE($A$13,MONTH("1-"&amp;A24&amp;"-"&amp;$A$13),1),0)&gt;=Generales!$B$4,DATE($A$13,MONTH("1-"&amp;A24&amp;"-"&amp;$A$13),1)&lt;=Generales!$C$4),"","FUERA DE RANGO")</f>
        <v>FUERA DE RANGO</v>
      </c>
    </row>
    <row r="25" spans="1:8">
      <c r="A25" s="3" t="s">
        <v>20</v>
      </c>
      <c r="B25" s="3" t="str">
        <f t="shared" si="2"/>
        <v>Noviembre9</v>
      </c>
      <c r="C25" s="151"/>
      <c r="D25" s="152"/>
      <c r="E25" s="5"/>
      <c r="F25" s="68">
        <f>VLOOKUP(B25,'Calendario Tributario'!$D$3:$K$122,4,0)</f>
        <v>44176</v>
      </c>
      <c r="G25" s="161">
        <f t="shared" si="3"/>
        <v>0</v>
      </c>
      <c r="H25" s="1" t="str">
        <f>IF(AND(EOMONTH(DATE($A$13,MONTH("1-"&amp;A25&amp;"-"&amp;$A$13),1),0)&gt;=Generales!$B$4,DATE($A$13,MONTH("1-"&amp;A25&amp;"-"&amp;$A$13),1)&lt;=Generales!$C$4),"","FUERA DE RANGO")</f>
        <v>FUERA DE RANGO</v>
      </c>
    </row>
    <row r="26" spans="1:8">
      <c r="A26" s="3" t="s">
        <v>21</v>
      </c>
      <c r="B26" s="3" t="str">
        <f t="shared" si="2"/>
        <v>Diciembre9</v>
      </c>
      <c r="C26" s="151"/>
      <c r="D26" s="152"/>
      <c r="E26" s="5"/>
      <c r="F26" s="68">
        <f>VLOOKUP(B26,'Calendario Tributario'!$D$3:$K$122,4,0)</f>
        <v>44210</v>
      </c>
      <c r="G26" s="161">
        <f t="shared" si="3"/>
        <v>0</v>
      </c>
      <c r="H26" s="1" t="str">
        <f>IF(AND(EOMONTH(DATE($A$13,MONTH("1-"&amp;A26&amp;"-"&amp;$A$13),1),0)&gt;=Generales!$B$4,DATE($A$13,MONTH("1-"&amp;A26&amp;"-"&amp;$A$13),1)&lt;=Generales!$C$4),"","FUERA DE RANGO")</f>
        <v>FUERA DE RANGO</v>
      </c>
    </row>
    <row r="27" spans="1:8">
      <c r="D27" s="59"/>
    </row>
    <row r="28" spans="1:8">
      <c r="A28" s="146">
        <v>2021</v>
      </c>
      <c r="B28" s="146"/>
      <c r="C28" s="10"/>
      <c r="D28" s="147"/>
      <c r="E28" s="18"/>
      <c r="F28" s="27"/>
      <c r="G28" s="10"/>
    </row>
    <row r="29" spans="1:8" ht="63">
      <c r="A29" s="148" t="s">
        <v>0</v>
      </c>
      <c r="B29" s="148"/>
      <c r="C29" s="149" t="s">
        <v>1</v>
      </c>
      <c r="D29" s="150" t="s">
        <v>2</v>
      </c>
      <c r="E29" s="148" t="s">
        <v>3</v>
      </c>
      <c r="F29" s="168" t="s">
        <v>4</v>
      </c>
      <c r="G29" s="155" t="s">
        <v>5</v>
      </c>
    </row>
    <row r="30" spans="1:8">
      <c r="A30" s="158" t="s">
        <v>22</v>
      </c>
      <c r="B30" s="3" t="str">
        <f t="shared" ref="B30:B41" si="4">CONCATENATE(A30,$C$1)</f>
        <v>Enero9</v>
      </c>
      <c r="C30" s="151"/>
      <c r="D30" s="164"/>
      <c r="E30" s="165"/>
      <c r="F30" s="68">
        <f>VLOOKUP(B30,'Calendario Tributario'!$D$3:$K$122,5,0)</f>
        <v>44246</v>
      </c>
      <c r="G30" s="161">
        <f>IF(E30-F30&lt;0,0,E30-F30)</f>
        <v>0</v>
      </c>
      <c r="H30" s="1" t="str">
        <f>IF(AND(EOMONTH(DATE($A$28,MONTH("1-"&amp;A30&amp;"-"&amp;$A$28),1),0)&gt;=Generales!$B$4,DATE($A$28,MONTH("1-"&amp;A30&amp;"-"&amp;$A$28),1)&lt;=Generales!$C$4),"","FUERA DE RANGO")</f>
        <v>FUERA DE RANGO</v>
      </c>
    </row>
    <row r="31" spans="1:8">
      <c r="A31" s="158" t="s">
        <v>23</v>
      </c>
      <c r="B31" s="3" t="str">
        <f t="shared" si="4"/>
        <v>Febrero9</v>
      </c>
      <c r="C31" s="151"/>
      <c r="D31" s="169"/>
      <c r="E31" s="170"/>
      <c r="F31" s="68">
        <f>VLOOKUP(B31,'Calendario Tributario'!$D$3:$K$122,5,0)</f>
        <v>44274</v>
      </c>
      <c r="G31" s="161">
        <f t="shared" ref="G31:G41" si="5">IF(E31-F31&lt;0,0,E31-F31)</f>
        <v>0</v>
      </c>
      <c r="H31" s="1" t="str">
        <f>IF(AND(EOMONTH(DATE($A$28,MONTH("1-"&amp;A31&amp;"-"&amp;$A$28),1),0)&gt;=Generales!$B$4,DATE($A$28,MONTH("1-"&amp;A31&amp;"-"&amp;$A$28),1)&lt;=Generales!$C$4),"","FUERA DE RANGO")</f>
        <v>FUERA DE RANGO</v>
      </c>
    </row>
    <row r="32" spans="1:8">
      <c r="A32" s="158" t="s">
        <v>24</v>
      </c>
      <c r="B32" s="3" t="str">
        <f t="shared" si="4"/>
        <v>Marzo9</v>
      </c>
      <c r="C32" s="151"/>
      <c r="D32" s="164"/>
      <c r="E32" s="165"/>
      <c r="F32" s="68">
        <f>VLOOKUP(B32,'Calendario Tributario'!$D$3:$K$122,5,0)</f>
        <v>44308</v>
      </c>
      <c r="G32" s="161">
        <f t="shared" si="5"/>
        <v>0</v>
      </c>
      <c r="H32" s="1" t="str">
        <f>IF(AND(EOMONTH(DATE($A$28,MONTH("1-"&amp;A32&amp;"-"&amp;$A$28),1),0)&gt;=Generales!$B$4,DATE($A$28,MONTH("1-"&amp;A32&amp;"-"&amp;$A$28),1)&lt;=Generales!$C$4),"","FUERA DE RANGO")</f>
        <v>FUERA DE RANGO</v>
      </c>
    </row>
    <row r="33" spans="1:8">
      <c r="A33" s="3" t="s">
        <v>25</v>
      </c>
      <c r="B33" s="3" t="str">
        <f t="shared" si="4"/>
        <v>Abril9</v>
      </c>
      <c r="C33" s="151"/>
      <c r="D33" s="152"/>
      <c r="E33" s="165"/>
      <c r="F33" s="68">
        <f>VLOOKUP(B33,'Calendario Tributario'!$D$3:$K$122,5,0)</f>
        <v>44337</v>
      </c>
      <c r="G33" s="161">
        <f t="shared" si="5"/>
        <v>0</v>
      </c>
      <c r="H33" s="1" t="str">
        <f>IF(AND(EOMONTH(DATE($A$28,MONTH("1-"&amp;A33&amp;"-"&amp;$A$28),1),0)&gt;=Generales!$B$4,DATE($A$28,MONTH("1-"&amp;A33&amp;"-"&amp;$A$28),1)&lt;=Generales!$C$4),"","FUERA DE RANGO")</f>
        <v>FUERA DE RANGO</v>
      </c>
    </row>
    <row r="34" spans="1:8">
      <c r="A34" s="3" t="s">
        <v>14</v>
      </c>
      <c r="B34" s="3" t="str">
        <f t="shared" si="4"/>
        <v>Mayo9</v>
      </c>
      <c r="C34" s="151"/>
      <c r="D34" s="152"/>
      <c r="E34" s="160"/>
      <c r="F34" s="68">
        <f>VLOOKUP(B34,'Calendario Tributario'!$D$3:$K$122,5,0)</f>
        <v>44369</v>
      </c>
      <c r="G34" s="161">
        <f t="shared" si="5"/>
        <v>0</v>
      </c>
      <c r="H34" s="1" t="str">
        <f>IF(AND(EOMONTH(DATE($A$28,MONTH("1-"&amp;A34&amp;"-"&amp;$A$28),1),0)&gt;=Generales!$B$4,DATE($A$28,MONTH("1-"&amp;A34&amp;"-"&amp;$A$28),1)&lt;=Generales!$C$4),"","FUERA DE RANGO")</f>
        <v>FUERA DE RANGO</v>
      </c>
    </row>
    <row r="35" spans="1:8">
      <c r="A35" s="3" t="s">
        <v>15</v>
      </c>
      <c r="B35" s="3" t="str">
        <f t="shared" si="4"/>
        <v>Junio9</v>
      </c>
      <c r="C35" s="151"/>
      <c r="D35" s="152"/>
      <c r="E35" s="160"/>
      <c r="F35" s="68">
        <f>VLOOKUP(B35,'Calendario Tributario'!$D$3:$K$122,5,0)</f>
        <v>44398</v>
      </c>
      <c r="G35" s="161">
        <f t="shared" si="5"/>
        <v>0</v>
      </c>
      <c r="H35" s="1" t="str">
        <f>IF(AND(EOMONTH(DATE($A$28,MONTH("1-"&amp;A35&amp;"-"&amp;$A$28),1),0)&gt;=Generales!$B$4,DATE($A$28,MONTH("1-"&amp;A35&amp;"-"&amp;$A$28),1)&lt;=Generales!$C$4),"","FUERA DE RANGO")</f>
        <v>FUERA DE RANGO</v>
      </c>
    </row>
    <row r="36" spans="1:8">
      <c r="A36" s="3" t="s">
        <v>16</v>
      </c>
      <c r="B36" s="3" t="str">
        <f t="shared" si="4"/>
        <v>Julio9</v>
      </c>
      <c r="C36" s="151"/>
      <c r="D36" s="152"/>
      <c r="E36" s="160"/>
      <c r="F36" s="68">
        <f>VLOOKUP(B36,'Calendario Tributario'!$D$3:$K$122,5,0)</f>
        <v>44431</v>
      </c>
      <c r="G36" s="161">
        <f t="shared" si="5"/>
        <v>0</v>
      </c>
      <c r="H36" s="1" t="str">
        <f>IF(AND(EOMONTH(DATE($A$28,MONTH("1-"&amp;A36&amp;"-"&amp;$A$28),1),0)&gt;=Generales!$B$4,DATE($A$28,MONTH("1-"&amp;A36&amp;"-"&amp;$A$28),1)&lt;=Generales!$C$4),"","FUERA DE RANGO")</f>
        <v>FUERA DE RANGO</v>
      </c>
    </row>
    <row r="37" spans="1:8">
      <c r="A37" s="3" t="s">
        <v>17</v>
      </c>
      <c r="B37" s="3" t="str">
        <f t="shared" si="4"/>
        <v>Agosto9</v>
      </c>
      <c r="C37" s="151"/>
      <c r="D37" s="152"/>
      <c r="E37" s="165"/>
      <c r="F37" s="68">
        <f>VLOOKUP(B37,'Calendario Tributario'!$D$3:$K$122,5,0)</f>
        <v>44459</v>
      </c>
      <c r="G37" s="161">
        <f t="shared" si="5"/>
        <v>0</v>
      </c>
      <c r="H37" s="1" t="str">
        <f>IF(AND(EOMONTH(DATE($A$28,MONTH("1-"&amp;A37&amp;"-"&amp;$A$28),1),0)&gt;=Generales!$B$4,DATE($A$28,MONTH("1-"&amp;A37&amp;"-"&amp;$A$28),1)&lt;=Generales!$C$4),"","FUERA DE RANGO")</f>
        <v>FUERA DE RANGO</v>
      </c>
    </row>
    <row r="38" spans="1:8">
      <c r="A38" s="3" t="s">
        <v>18</v>
      </c>
      <c r="B38" s="3" t="str">
        <f t="shared" si="4"/>
        <v>Septiembre9</v>
      </c>
      <c r="C38" s="151"/>
      <c r="D38" s="152"/>
      <c r="E38" s="160"/>
      <c r="F38" s="68">
        <f>VLOOKUP(B38,'Calendario Tributario'!$D$3:$K$122,5,0)</f>
        <v>44489</v>
      </c>
      <c r="G38" s="161">
        <f t="shared" si="5"/>
        <v>0</v>
      </c>
      <c r="H38" s="1" t="str">
        <f>IF(AND(EOMONTH(DATE($A$28,MONTH("1-"&amp;A38&amp;"-"&amp;$A$28),1),0)&gt;=Generales!$B$4,DATE($A$28,MONTH("1-"&amp;A38&amp;"-"&amp;$A$28),1)&lt;=Generales!$C$4),"","FUERA DE RANGO")</f>
        <v>FUERA DE RANGO</v>
      </c>
    </row>
    <row r="39" spans="1:8">
      <c r="A39" s="3" t="s">
        <v>19</v>
      </c>
      <c r="B39" s="3" t="str">
        <f t="shared" si="4"/>
        <v>Octubre9</v>
      </c>
      <c r="C39" s="151"/>
      <c r="D39" s="152"/>
      <c r="E39" s="160"/>
      <c r="F39" s="68">
        <f>VLOOKUP(B39,'Calendario Tributario'!$D$3:$K$122,5,0)</f>
        <v>44522</v>
      </c>
      <c r="G39" s="161">
        <f t="shared" si="5"/>
        <v>0</v>
      </c>
      <c r="H39" s="1" t="str">
        <f>IF(AND(EOMONTH(DATE($A$28,MONTH("1-"&amp;A39&amp;"-"&amp;$A$28),1),0)&gt;=Generales!$B$4,DATE($A$28,MONTH("1-"&amp;A39&amp;"-"&amp;$A$28),1)&lt;=Generales!$C$4),"","FUERA DE RANGO")</f>
        <v>FUERA DE RANGO</v>
      </c>
    </row>
    <row r="40" spans="1:8">
      <c r="A40" s="3" t="s">
        <v>20</v>
      </c>
      <c r="B40" s="3" t="str">
        <f t="shared" si="4"/>
        <v>Noviembre9</v>
      </c>
      <c r="C40" s="151"/>
      <c r="D40" s="152"/>
      <c r="E40" s="160"/>
      <c r="F40" s="68">
        <f>VLOOKUP(B40,'Calendario Tributario'!$D$3:$K$122,5,0)</f>
        <v>44552</v>
      </c>
      <c r="G40" s="161">
        <f t="shared" si="5"/>
        <v>0</v>
      </c>
      <c r="H40" s="1" t="str">
        <f>IF(AND(EOMONTH(DATE($A$28,MONTH("1-"&amp;A40&amp;"-"&amp;$A$28),1),0)&gt;=Generales!$B$4,DATE($A$28,MONTH("1-"&amp;A40&amp;"-"&amp;$A$28),1)&lt;=Generales!$C$4),"","FUERA DE RANGO")</f>
        <v>FUERA DE RANGO</v>
      </c>
    </row>
    <row r="41" spans="1:8">
      <c r="A41" s="3" t="s">
        <v>21</v>
      </c>
      <c r="B41" s="3" t="str">
        <f t="shared" si="4"/>
        <v>Diciembre9</v>
      </c>
      <c r="C41" s="151"/>
      <c r="D41" s="152"/>
      <c r="E41" s="160"/>
      <c r="F41" s="68">
        <f>VLOOKUP(B41,'Calendario Tributario'!$D$3:$K$122,5,0)</f>
        <v>44585</v>
      </c>
      <c r="G41" s="161">
        <f t="shared" si="5"/>
        <v>0</v>
      </c>
      <c r="H41" s="1" t="str">
        <f>IF(AND(EOMONTH(DATE($A$28,MONTH("1-"&amp;A41&amp;"-"&amp;$A$28),1),0)&gt;=Generales!$B$4,DATE($A$28,MONTH("1-"&amp;A41&amp;"-"&amp;$A$28),1)&lt;=Generales!$C$4),"","FUERA DE RANGO")</f>
        <v>FUERA DE RANGO</v>
      </c>
    </row>
    <row r="42" spans="1:8">
      <c r="D42" s="59"/>
    </row>
    <row r="43" spans="1:8">
      <c r="A43" s="146">
        <v>2022</v>
      </c>
      <c r="B43" s="146"/>
      <c r="C43" s="10"/>
      <c r="D43" s="147"/>
      <c r="E43" s="18"/>
      <c r="F43" s="27"/>
      <c r="G43" s="10"/>
    </row>
    <row r="44" spans="1:8" ht="63">
      <c r="A44" s="148" t="s">
        <v>0</v>
      </c>
      <c r="B44" s="148"/>
      <c r="C44" s="149" t="s">
        <v>1</v>
      </c>
      <c r="D44" s="150" t="s">
        <v>2</v>
      </c>
      <c r="E44" s="148" t="s">
        <v>3</v>
      </c>
      <c r="F44" s="148" t="s">
        <v>4</v>
      </c>
      <c r="G44" s="148" t="s">
        <v>5</v>
      </c>
    </row>
    <row r="45" spans="1:8">
      <c r="A45" s="158" t="s">
        <v>22</v>
      </c>
      <c r="B45" s="3" t="str">
        <f t="shared" ref="B45:B56" si="6">CONCATENATE(A45,$C$1)</f>
        <v>Enero9</v>
      </c>
      <c r="C45" s="151"/>
      <c r="D45" s="166"/>
      <c r="E45" s="167"/>
      <c r="F45" s="68">
        <f>VLOOKUP(B45,'Calendario Tributario'!$D$3:$K$122,6,0)</f>
        <v>44610</v>
      </c>
      <c r="G45" s="161">
        <f>IF(E45-F45&lt;0,0,E45-F45)</f>
        <v>0</v>
      </c>
      <c r="H45" s="1" t="str">
        <f>IF(AND(EOMONTH(DATE($A$43,MONTH("1-"&amp;A45&amp;"-"&amp;$A$43),1),0)&gt;=Generales!$B$4,DATE($A$43,MONTH("1-"&amp;A45&amp;"-"&amp;$A$43),1)&lt;=Generales!$C$4),"","FUERA DE RANGO")</f>
        <v>FUERA DE RANGO</v>
      </c>
    </row>
    <row r="46" spans="1:8">
      <c r="A46" s="171" t="s">
        <v>23</v>
      </c>
      <c r="B46" s="3" t="str">
        <f t="shared" si="6"/>
        <v>Febrero9</v>
      </c>
      <c r="C46" s="151"/>
      <c r="D46" s="162"/>
      <c r="E46" s="172"/>
      <c r="F46" s="68">
        <f>VLOOKUP(B46,'Calendario Tributario'!$D$3:$K$122,6,0)</f>
        <v>44638</v>
      </c>
      <c r="G46" s="161">
        <f t="shared" ref="G46:G56" si="7">IF(E46-F46&lt;0,0,E46-F46)</f>
        <v>0</v>
      </c>
      <c r="H46" s="1" t="str">
        <f>IF(AND(EOMONTH(DATE($A$43,MONTH("1-"&amp;A46&amp;"-"&amp;$A$43),1),0)&gt;=Generales!$B$4,DATE($A$43,MONTH("1-"&amp;A46&amp;"-"&amp;$A$43),1)&lt;=Generales!$C$4),"","FUERA DE RANGO")</f>
        <v>FUERA DE RANGO</v>
      </c>
    </row>
    <row r="47" spans="1:8">
      <c r="A47" s="158" t="s">
        <v>24</v>
      </c>
      <c r="B47" s="3" t="str">
        <f t="shared" si="6"/>
        <v>Marzo9</v>
      </c>
      <c r="C47" s="151"/>
      <c r="D47" s="164"/>
      <c r="E47" s="173"/>
      <c r="F47" s="68">
        <f>VLOOKUP(B47,'Calendario Tributario'!$D$3:$K$122,6,0)</f>
        <v>44672</v>
      </c>
      <c r="G47" s="161">
        <f t="shared" si="7"/>
        <v>0</v>
      </c>
      <c r="H47" s="1" t="str">
        <f>IF(AND(EOMONTH(DATE($A$43,MONTH("1-"&amp;A47&amp;"-"&amp;$A$43),1),0)&gt;=Generales!$B$4,DATE($A$43,MONTH("1-"&amp;A47&amp;"-"&amp;$A$43),1)&lt;=Generales!$C$4),"","FUERA DE RANGO")</f>
        <v>FUERA DE RANGO</v>
      </c>
    </row>
    <row r="48" spans="1:8">
      <c r="A48" s="158" t="s">
        <v>25</v>
      </c>
      <c r="B48" s="3" t="str">
        <f t="shared" si="6"/>
        <v>Abril9</v>
      </c>
      <c r="C48" s="151"/>
      <c r="D48" s="164"/>
      <c r="E48" s="173"/>
      <c r="F48" s="68">
        <f>VLOOKUP(B48,'Calendario Tributario'!$D$3:$K$122,6,0)</f>
        <v>44701</v>
      </c>
      <c r="G48" s="161">
        <f t="shared" si="7"/>
        <v>0</v>
      </c>
      <c r="H48" s="1" t="str">
        <f>IF(AND(EOMONTH(DATE($A$43,MONTH("1-"&amp;A48&amp;"-"&amp;$A$43),1),0)&gt;=Generales!$B$4,DATE($A$43,MONTH("1-"&amp;A48&amp;"-"&amp;$A$43),1)&lt;=Generales!$C$4),"","FUERA DE RANGO")</f>
        <v>FUERA DE RANGO</v>
      </c>
    </row>
    <row r="49" spans="1:8">
      <c r="A49" s="158" t="s">
        <v>14</v>
      </c>
      <c r="B49" s="3" t="str">
        <f t="shared" si="6"/>
        <v>Mayo9</v>
      </c>
      <c r="C49" s="151"/>
      <c r="D49" s="58"/>
      <c r="E49" s="5"/>
      <c r="F49" s="68">
        <f>VLOOKUP(B49,'Calendario Tributario'!$D$3:$K$122,6,0)</f>
        <v>44729</v>
      </c>
      <c r="G49" s="161">
        <f t="shared" si="7"/>
        <v>0</v>
      </c>
      <c r="H49" s="1" t="str">
        <f>IF(AND(EOMONTH(DATE($A$43,MONTH("1-"&amp;A49&amp;"-"&amp;$A$43),1),0)&gt;=Generales!$B$4,DATE($A$43,MONTH("1-"&amp;A49&amp;"-"&amp;$A$43),1)&lt;=Generales!$C$4),"","FUERA DE RANGO")</f>
        <v>FUERA DE RANGO</v>
      </c>
    </row>
    <row r="50" spans="1:8">
      <c r="A50" s="3" t="s">
        <v>15</v>
      </c>
      <c r="B50" s="3" t="str">
        <f t="shared" si="6"/>
        <v>Junio9</v>
      </c>
      <c r="C50" s="151"/>
      <c r="D50" s="164"/>
      <c r="E50" s="173"/>
      <c r="F50" s="68">
        <f>VLOOKUP(B50,'Calendario Tributario'!$D$3:$K$122,6,0)</f>
        <v>44763</v>
      </c>
      <c r="G50" s="161">
        <f t="shared" si="7"/>
        <v>0</v>
      </c>
      <c r="H50" s="1" t="str">
        <f>IF(AND(EOMONTH(DATE($A$43,MONTH("1-"&amp;A50&amp;"-"&amp;$A$43),1),0)&gt;=Generales!$B$4,DATE($A$43,MONTH("1-"&amp;A50&amp;"-"&amp;$A$43),1)&lt;=Generales!$C$4),"","FUERA DE RANGO")</f>
        <v>FUERA DE RANGO</v>
      </c>
    </row>
    <row r="51" spans="1:8">
      <c r="A51" s="3" t="s">
        <v>16</v>
      </c>
      <c r="B51" s="3" t="str">
        <f t="shared" si="6"/>
        <v>Julio9</v>
      </c>
      <c r="C51" s="151"/>
      <c r="D51" s="164"/>
      <c r="E51" s="173"/>
      <c r="F51" s="68">
        <f>VLOOKUP(B51,'Calendario Tributario'!$D$3:$K$122,6,0)</f>
        <v>44795</v>
      </c>
      <c r="G51" s="161">
        <f t="shared" si="7"/>
        <v>0</v>
      </c>
      <c r="H51" s="1" t="str">
        <f>IF(AND(EOMONTH(DATE($A$43,MONTH("1-"&amp;A51&amp;"-"&amp;$A$43),1),0)&gt;=Generales!$B$4,DATE($A$43,MONTH("1-"&amp;A51&amp;"-"&amp;$A$43),1)&lt;=Generales!$C$4),"","FUERA DE RANGO")</f>
        <v>FUERA DE RANGO</v>
      </c>
    </row>
    <row r="52" spans="1:8">
      <c r="A52" s="158" t="s">
        <v>17</v>
      </c>
      <c r="B52" s="3" t="str">
        <f t="shared" si="6"/>
        <v>Agosto9</v>
      </c>
      <c r="C52" s="151"/>
      <c r="D52" s="164"/>
      <c r="E52" s="5"/>
      <c r="F52" s="68">
        <f>VLOOKUP(B52,'Calendario Tributario'!$D$3:$K$122,6,0)</f>
        <v>44823</v>
      </c>
      <c r="G52" s="161">
        <f t="shared" si="7"/>
        <v>0</v>
      </c>
      <c r="H52" s="1" t="str">
        <f>IF(AND(EOMONTH(DATE($A$43,MONTH("1-"&amp;A52&amp;"-"&amp;$A$43),1),0)&gt;=Generales!$B$4,DATE($A$43,MONTH("1-"&amp;A52&amp;"-"&amp;$A$43),1)&lt;=Generales!$C$4),"","FUERA DE RANGO")</f>
        <v>FUERA DE RANGO</v>
      </c>
    </row>
    <row r="53" spans="1:8">
      <c r="A53" s="3" t="s">
        <v>18</v>
      </c>
      <c r="B53" s="3" t="str">
        <f t="shared" si="6"/>
        <v>Septiembre9</v>
      </c>
      <c r="C53" s="151"/>
      <c r="D53" s="164"/>
      <c r="E53" s="5"/>
      <c r="F53" s="68">
        <f>VLOOKUP(B53,'Calendario Tributario'!$D$3:$K$122,6,0)</f>
        <v>44854</v>
      </c>
      <c r="G53" s="161">
        <f t="shared" si="7"/>
        <v>0</v>
      </c>
      <c r="H53" s="1" t="str">
        <f>IF(AND(EOMONTH(DATE($A$43,MONTH("1-"&amp;A53&amp;"-"&amp;$A$43),1),0)&gt;=Generales!$B$4,DATE($A$43,MONTH("1-"&amp;A53&amp;"-"&amp;$A$43),1)&lt;=Generales!$C$4),"","FUERA DE RANGO")</f>
        <v>FUERA DE RANGO</v>
      </c>
    </row>
    <row r="54" spans="1:8">
      <c r="A54" s="3" t="s">
        <v>19</v>
      </c>
      <c r="B54" s="3" t="str">
        <f t="shared" si="6"/>
        <v>Octubre9</v>
      </c>
      <c r="C54" s="151"/>
      <c r="D54" s="239"/>
      <c r="E54" s="66"/>
      <c r="F54" s="68">
        <f>VLOOKUP(B54,'Calendario Tributario'!$D$3:$K$122,6,0)</f>
        <v>44887</v>
      </c>
      <c r="G54" s="161">
        <f t="shared" si="7"/>
        <v>0</v>
      </c>
    </row>
    <row r="55" spans="1:8">
      <c r="A55" s="3" t="s">
        <v>20</v>
      </c>
      <c r="B55" s="3" t="str">
        <f t="shared" si="6"/>
        <v>Noviembre9</v>
      </c>
      <c r="C55" s="151"/>
      <c r="D55" s="239"/>
      <c r="E55" s="66"/>
      <c r="F55" s="68">
        <f>VLOOKUP(B55,'Calendario Tributario'!$D$3:$K$122,6,0)</f>
        <v>44917</v>
      </c>
      <c r="G55" s="161">
        <f t="shared" si="7"/>
        <v>0</v>
      </c>
    </row>
    <row r="56" spans="1:8">
      <c r="A56" s="3" t="s">
        <v>21</v>
      </c>
      <c r="B56" s="3" t="str">
        <f t="shared" si="6"/>
        <v>Diciembre9</v>
      </c>
      <c r="C56" s="151"/>
      <c r="D56" s="239"/>
      <c r="E56" s="66"/>
      <c r="F56" s="68">
        <f>VLOOKUP(B56,'Calendario Tributario'!$D$3:$K$122,6,0)</f>
        <v>44949</v>
      </c>
      <c r="G56" s="161">
        <f t="shared" si="7"/>
        <v>0</v>
      </c>
    </row>
    <row r="57" spans="1:8">
      <c r="D57" s="59"/>
    </row>
    <row r="58" spans="1:8">
      <c r="A58" s="146">
        <v>2023</v>
      </c>
      <c r="B58" s="146"/>
      <c r="C58" s="10"/>
      <c r="D58" s="147"/>
      <c r="E58" s="18"/>
      <c r="F58" s="27"/>
      <c r="G58" s="10"/>
    </row>
    <row r="59" spans="1:8" ht="63">
      <c r="A59" s="148" t="s">
        <v>0</v>
      </c>
      <c r="B59" s="148"/>
      <c r="C59" s="149" t="s">
        <v>1</v>
      </c>
      <c r="D59" s="150" t="s">
        <v>2</v>
      </c>
      <c r="E59" s="148" t="s">
        <v>3</v>
      </c>
      <c r="F59" s="148" t="s">
        <v>4</v>
      </c>
      <c r="G59" s="148" t="s">
        <v>5</v>
      </c>
    </row>
    <row r="60" spans="1:8">
      <c r="A60" s="158" t="s">
        <v>22</v>
      </c>
      <c r="B60" s="3" t="str">
        <f t="shared" ref="B60:B71" si="8">CONCATENATE(A60,$C$1)</f>
        <v>Enero9</v>
      </c>
      <c r="C60" s="151"/>
      <c r="D60" s="239"/>
      <c r="E60" s="66"/>
      <c r="F60" s="68">
        <f>VLOOKUP(B60,'Calendario Tributario'!$D$3:$K$122,7,0)</f>
        <v>44974</v>
      </c>
      <c r="G60" s="161">
        <f>IF(E60-F60&lt;0,0,E60-F60)</f>
        <v>0</v>
      </c>
    </row>
    <row r="61" spans="1:8">
      <c r="A61" s="158" t="s">
        <v>23</v>
      </c>
      <c r="B61" s="3" t="str">
        <f t="shared" si="8"/>
        <v>Febrero9</v>
      </c>
      <c r="C61" s="151"/>
      <c r="D61" s="239"/>
      <c r="E61" s="66"/>
      <c r="F61" s="68">
        <f>VLOOKUP(B61,'Calendario Tributario'!$D$3:$K$122,7,0)</f>
        <v>45002</v>
      </c>
      <c r="G61" s="161">
        <f t="shared" ref="G61:G71" si="9">IF(E61-F61&lt;0,0,E61-F61)</f>
        <v>0</v>
      </c>
    </row>
    <row r="62" spans="1:8">
      <c r="A62" s="158" t="s">
        <v>24</v>
      </c>
      <c r="B62" s="3" t="str">
        <f t="shared" si="8"/>
        <v>Marzo9</v>
      </c>
      <c r="C62" s="151"/>
      <c r="D62" s="239"/>
      <c r="E62" s="66"/>
      <c r="F62" s="68">
        <f>VLOOKUP(B62,'Calendario Tributario'!$D$3:$K$122,7,0)</f>
        <v>45036</v>
      </c>
      <c r="G62" s="161">
        <f t="shared" si="9"/>
        <v>0</v>
      </c>
    </row>
    <row r="63" spans="1:8">
      <c r="A63" s="158" t="s">
        <v>25</v>
      </c>
      <c r="B63" s="3" t="str">
        <f t="shared" si="8"/>
        <v>Abril9</v>
      </c>
      <c r="C63" s="151"/>
      <c r="D63" s="239"/>
      <c r="E63" s="66"/>
      <c r="F63" s="68">
        <f>VLOOKUP(B63,'Calendario Tributario'!$D$3:$K$122,7,0)</f>
        <v>45065</v>
      </c>
      <c r="G63" s="161">
        <f t="shared" si="9"/>
        <v>0</v>
      </c>
    </row>
    <row r="64" spans="1:8">
      <c r="A64" s="158" t="s">
        <v>14</v>
      </c>
      <c r="B64" s="3" t="str">
        <f t="shared" si="8"/>
        <v>Mayo9</v>
      </c>
      <c r="C64" s="151"/>
      <c r="D64" s="239"/>
      <c r="E64" s="66"/>
      <c r="F64" s="68">
        <f>VLOOKUP(B64,'Calendario Tributario'!$D$3:$K$122,7,0)</f>
        <v>45098</v>
      </c>
      <c r="G64" s="161">
        <f t="shared" si="9"/>
        <v>0</v>
      </c>
    </row>
    <row r="65" spans="1:9">
      <c r="A65" s="3" t="s">
        <v>15</v>
      </c>
      <c r="B65" s="3" t="str">
        <f t="shared" si="8"/>
        <v>Junio9</v>
      </c>
      <c r="C65" s="151"/>
      <c r="D65" s="58"/>
      <c r="E65" s="246"/>
      <c r="F65" s="68">
        <f>VLOOKUP(B65,'Calendario Tributario'!$D$3:$K$122,7,0)</f>
        <v>45126</v>
      </c>
      <c r="G65" s="161">
        <f t="shared" si="9"/>
        <v>0</v>
      </c>
    </row>
    <row r="66" spans="1:9">
      <c r="A66" s="3" t="s">
        <v>16</v>
      </c>
      <c r="B66" s="3" t="str">
        <f t="shared" si="8"/>
        <v>Julio9</v>
      </c>
      <c r="C66" s="151"/>
      <c r="D66" s="58"/>
      <c r="E66" s="246"/>
      <c r="F66" s="68">
        <f>VLOOKUP(B66,'Calendario Tributario'!$D$3:$K$122,7,0)</f>
        <v>45160</v>
      </c>
      <c r="G66" s="161">
        <f t="shared" si="9"/>
        <v>0</v>
      </c>
    </row>
    <row r="67" spans="1:9">
      <c r="A67" s="158" t="s">
        <v>17</v>
      </c>
      <c r="B67" s="3" t="str">
        <f t="shared" si="8"/>
        <v>Agosto9</v>
      </c>
      <c r="C67" s="151"/>
      <c r="D67" s="58"/>
      <c r="E67" s="246"/>
      <c r="F67" s="68">
        <f>VLOOKUP(B67,'Calendario Tributario'!$D$3:$K$122,7,0)</f>
        <v>45188</v>
      </c>
      <c r="G67" s="161">
        <f t="shared" si="9"/>
        <v>0</v>
      </c>
    </row>
    <row r="68" spans="1:9">
      <c r="A68" s="3" t="s">
        <v>18</v>
      </c>
      <c r="B68" s="3" t="str">
        <f t="shared" si="8"/>
        <v>Septiembre9</v>
      </c>
      <c r="C68" s="151"/>
      <c r="D68" s="58"/>
      <c r="E68" s="246"/>
      <c r="F68" s="68">
        <f>VLOOKUP(B68,'Calendario Tributario'!$D$3:$K$122,7,0)</f>
        <v>45222</v>
      </c>
      <c r="G68" s="161">
        <f t="shared" si="9"/>
        <v>0</v>
      </c>
    </row>
    <row r="69" spans="1:9">
      <c r="A69" s="3" t="s">
        <v>19</v>
      </c>
      <c r="B69" s="3" t="str">
        <f t="shared" si="8"/>
        <v>Octubre9</v>
      </c>
      <c r="C69" s="151"/>
      <c r="D69" s="239"/>
      <c r="E69" s="66"/>
      <c r="F69" s="68">
        <f>VLOOKUP(B69,'Calendario Tributario'!$D$3:$K$122,7,0)</f>
        <v>45251</v>
      </c>
      <c r="G69" s="161">
        <f t="shared" si="9"/>
        <v>0</v>
      </c>
    </row>
    <row r="70" spans="1:9">
      <c r="A70" s="3" t="s">
        <v>20</v>
      </c>
      <c r="B70" s="3" t="str">
        <f t="shared" si="8"/>
        <v>Noviembre9</v>
      </c>
      <c r="C70" s="151"/>
      <c r="D70" s="239"/>
      <c r="E70" s="66"/>
      <c r="F70" s="68">
        <f>VLOOKUP(B70,'Calendario Tributario'!$D$3:$K$122,7,0)</f>
        <v>45281</v>
      </c>
      <c r="G70" s="161">
        <f t="shared" si="9"/>
        <v>0</v>
      </c>
    </row>
    <row r="71" spans="1:9">
      <c r="A71" s="3" t="s">
        <v>21</v>
      </c>
      <c r="B71" s="3" t="str">
        <f t="shared" si="8"/>
        <v>Diciembre9</v>
      </c>
      <c r="C71" s="151"/>
      <c r="D71" s="239"/>
      <c r="E71" s="66"/>
      <c r="F71" s="68">
        <f>VLOOKUP(B71,'Calendario Tributario'!$D$3:$K$122,7,0)</f>
        <v>45313</v>
      </c>
      <c r="G71" s="161">
        <f t="shared" si="9"/>
        <v>0</v>
      </c>
      <c r="I71" s="241"/>
    </row>
    <row r="72" spans="1:9">
      <c r="D72" s="59"/>
    </row>
    <row r="73" spans="1:9">
      <c r="A73" s="146">
        <v>2024</v>
      </c>
      <c r="B73" s="146"/>
      <c r="C73" s="10"/>
      <c r="D73" s="147"/>
      <c r="E73" s="18"/>
      <c r="F73" s="27"/>
      <c r="G73" s="10"/>
    </row>
    <row r="74" spans="1:9" ht="63">
      <c r="A74" s="148" t="s">
        <v>0</v>
      </c>
      <c r="B74" s="148"/>
      <c r="C74" s="149" t="s">
        <v>1</v>
      </c>
      <c r="D74" s="150" t="s">
        <v>2</v>
      </c>
      <c r="E74" s="148" t="s">
        <v>3</v>
      </c>
      <c r="F74" s="148" t="s">
        <v>4</v>
      </c>
      <c r="G74" s="148" t="s">
        <v>5</v>
      </c>
    </row>
    <row r="75" spans="1:9">
      <c r="A75" s="158" t="s">
        <v>22</v>
      </c>
      <c r="B75" s="3" t="str">
        <f t="shared" ref="B75:B86" si="10">CONCATENATE(A75,$C$1)</f>
        <v>Enero9</v>
      </c>
      <c r="C75" s="151"/>
      <c r="D75" s="239"/>
      <c r="E75" s="66"/>
      <c r="F75" s="68">
        <f>VLOOKUP(B75,'Calendario Tributario'!$D$3:$K$122,8,0)</f>
        <v>45343</v>
      </c>
      <c r="G75" s="161">
        <f>IF(E75-F75&lt;0,0,E75-F75)</f>
        <v>0</v>
      </c>
    </row>
    <row r="76" spans="1:9">
      <c r="A76" s="158" t="s">
        <v>23</v>
      </c>
      <c r="B76" s="3" t="str">
        <f t="shared" si="10"/>
        <v>Febrero9</v>
      </c>
      <c r="C76" s="151"/>
      <c r="D76" s="239"/>
      <c r="E76" s="66"/>
      <c r="F76" s="68">
        <f>VLOOKUP(B76,'Calendario Tributario'!$D$3:$K$122,8,0)</f>
        <v>45372</v>
      </c>
      <c r="G76" s="161">
        <f t="shared" ref="G76:G85" si="11">IF(E76-F76&lt;0,0,E76-F76)</f>
        <v>0</v>
      </c>
      <c r="H76" s="1" t="str">
        <f>IF(AND(EOMONTH(DATE($A$73,MONTH("1-"&amp;A76&amp;"-"&amp;$A$73),1),0)&gt;=Generales!$B$4,DATE($A$73,MONTH("1-"&amp;A76&amp;"-"&amp;$A$73),1)&lt;=Generales!$C$4),"","FUERA DE RANGO")</f>
        <v>FUERA DE RANGO</v>
      </c>
    </row>
    <row r="77" spans="1:9">
      <c r="A77" s="158" t="s">
        <v>24</v>
      </c>
      <c r="B77" s="3" t="str">
        <f t="shared" si="10"/>
        <v>Marzo9</v>
      </c>
      <c r="C77" s="151"/>
      <c r="D77" s="239"/>
      <c r="E77" s="66"/>
      <c r="F77" s="68">
        <f>VLOOKUP(B77,'Calendario Tributario'!$D$3:$K$122,8,0)</f>
        <v>45401</v>
      </c>
      <c r="G77" s="161">
        <f t="shared" si="11"/>
        <v>0</v>
      </c>
      <c r="H77" s="1" t="str">
        <f>IF(AND(EOMONTH(DATE($A$73,MONTH("1-"&amp;A77&amp;"-"&amp;$A$73),1),0)&gt;=Generales!$B$4,DATE($A$73,MONTH("1-"&amp;A77&amp;"-"&amp;$A$73),1)&lt;=Generales!$C$4),"","FUERA DE RANGO")</f>
        <v>FUERA DE RANGO</v>
      </c>
    </row>
    <row r="78" spans="1:9">
      <c r="A78" s="158" t="s">
        <v>25</v>
      </c>
      <c r="B78" s="3" t="str">
        <f t="shared" si="10"/>
        <v>Abril9</v>
      </c>
      <c r="C78" s="151"/>
      <c r="D78" s="58"/>
      <c r="E78" s="246"/>
      <c r="F78" s="68">
        <f>VLOOKUP(B78,'Calendario Tributario'!$D$3:$K$122,8,0)</f>
        <v>45435</v>
      </c>
      <c r="G78" s="161">
        <f t="shared" si="11"/>
        <v>0</v>
      </c>
      <c r="H78" s="1" t="str">
        <f>IF(AND(EOMONTH(DATE($A$73,MONTH("1-"&amp;A78&amp;"-"&amp;$A$73),1),0)&gt;=Generales!$B$4,DATE($A$73,MONTH("1-"&amp;A78&amp;"-"&amp;$A$73),1)&lt;=Generales!$C$4),"","FUERA DE RANGO")</f>
        <v>FUERA DE RANGO</v>
      </c>
    </row>
    <row r="79" spans="1:9">
      <c r="A79" s="158" t="s">
        <v>14</v>
      </c>
      <c r="B79" s="3" t="str">
        <f t="shared" si="10"/>
        <v>Mayo9</v>
      </c>
      <c r="C79" s="151"/>
      <c r="D79" s="58"/>
      <c r="E79" s="246"/>
      <c r="F79" s="68">
        <f>VLOOKUP(B79,'Calendario Tributario'!$D$3:$K$122,8,0)</f>
        <v>45468</v>
      </c>
      <c r="G79" s="161">
        <f t="shared" si="11"/>
        <v>0</v>
      </c>
      <c r="I79" s="189"/>
    </row>
    <row r="80" spans="1:9">
      <c r="A80" s="3" t="s">
        <v>15</v>
      </c>
      <c r="B80" s="3" t="str">
        <f t="shared" si="10"/>
        <v>Junio9</v>
      </c>
      <c r="C80" s="151"/>
      <c r="D80" s="58"/>
      <c r="E80" s="246"/>
      <c r="F80" s="68">
        <f>VLOOKUP(B80,'Calendario Tributario'!$D$3:$K$122,8,0)</f>
        <v>45495</v>
      </c>
      <c r="G80" s="161">
        <f t="shared" si="11"/>
        <v>0</v>
      </c>
      <c r="H80" s="1" t="str">
        <f>IF(AND(EOMONTH(DATE($A$73,MONTH("1-"&amp;A80&amp;"-"&amp;$A$73),1),0)&gt;=Generales!$B$4,DATE($A$73,MONTH("1-"&amp;A80&amp;"-"&amp;$A$73),1)&lt;=Generales!$C$4),"","FUERA DE RANGO")</f>
        <v>FUERA DE RANGO</v>
      </c>
    </row>
    <row r="81" spans="1:9">
      <c r="A81" s="3" t="s">
        <v>16</v>
      </c>
      <c r="B81" s="3" t="str">
        <f t="shared" si="10"/>
        <v>Julio9</v>
      </c>
      <c r="C81" s="151"/>
      <c r="D81" s="58"/>
      <c r="E81" s="246"/>
      <c r="F81" s="68">
        <f>VLOOKUP(B81,'Calendario Tributario'!$D$3:$K$122,8,0)</f>
        <v>45527</v>
      </c>
      <c r="G81" s="161">
        <f t="shared" si="11"/>
        <v>0</v>
      </c>
      <c r="H81" s="1" t="str">
        <f>IF(AND(EOMONTH(DATE($A$73,MONTH("1-"&amp;A81&amp;"-"&amp;$A$73),1),0)&gt;=Generales!$B$4,DATE($A$73,MONTH("1-"&amp;A81&amp;"-"&amp;$A$73),1)&lt;=Generales!$C$4),"","FUERA DE RANGO")</f>
        <v>FUERA DE RANGO</v>
      </c>
    </row>
    <row r="82" spans="1:9">
      <c r="A82" s="158" t="s">
        <v>17</v>
      </c>
      <c r="B82" s="3" t="str">
        <f t="shared" si="10"/>
        <v>Agosto9</v>
      </c>
      <c r="C82" s="151"/>
      <c r="D82" s="58"/>
      <c r="E82" s="246"/>
      <c r="F82" s="68">
        <f>VLOOKUP(B82,'Calendario Tributario'!$D$3:$K$122,8,0)</f>
        <v>45555</v>
      </c>
      <c r="G82" s="161">
        <f t="shared" si="11"/>
        <v>0</v>
      </c>
      <c r="H82" s="1" t="str">
        <f>IF(AND(EOMONTH(DATE($A$73,MONTH("1-"&amp;A82&amp;"-"&amp;$A$73),1),0)&gt;=Generales!$B$4,DATE($A$73,MONTH("1-"&amp;A82&amp;"-"&amp;$A$73),1)&lt;=Generales!$C$4),"","FUERA DE RANGO")</f>
        <v>FUERA DE RANGO</v>
      </c>
    </row>
    <row r="83" spans="1:9">
      <c r="A83" s="3" t="s">
        <v>18</v>
      </c>
      <c r="B83" s="3" t="str">
        <f t="shared" si="10"/>
        <v>Septiembre9</v>
      </c>
      <c r="C83" s="151"/>
      <c r="D83" s="58"/>
      <c r="E83" s="246"/>
      <c r="F83" s="68">
        <f>VLOOKUP(B83,'Calendario Tributario'!$D$3:$K$122,8,0)</f>
        <v>45587</v>
      </c>
      <c r="G83" s="161">
        <f t="shared" si="11"/>
        <v>0</v>
      </c>
      <c r="I83" s="189"/>
    </row>
    <row r="84" spans="1:9">
      <c r="A84" s="3" t="s">
        <v>19</v>
      </c>
      <c r="B84" s="3" t="str">
        <f t="shared" si="10"/>
        <v>Octubre9</v>
      </c>
      <c r="C84" s="151"/>
      <c r="D84" s="58"/>
      <c r="E84" s="246"/>
      <c r="F84" s="68">
        <f>VLOOKUP(B84,'Calendario Tributario'!$D$3:$K$122,8,0)</f>
        <v>45621</v>
      </c>
      <c r="G84" s="161">
        <f t="shared" si="11"/>
        <v>0</v>
      </c>
      <c r="H84" s="1" t="str">
        <f>IF(AND(EOMONTH(DATE($A$73,MONTH("1-"&amp;A84&amp;"-"&amp;$A$73),1),0)&gt;=Generales!$B$4,DATE($A$73,MONTH("1-"&amp;A84&amp;"-"&amp;$A$73),1)&lt;=Generales!$C$4),"","FUERA DE RANGO")</f>
        <v>FUERA DE RANGO</v>
      </c>
    </row>
    <row r="85" spans="1:9">
      <c r="A85" s="3" t="s">
        <v>20</v>
      </c>
      <c r="B85" s="3" t="str">
        <f>CONCATENATE(A85,$C$1)</f>
        <v>Noviembre9</v>
      </c>
      <c r="C85" s="151"/>
      <c r="D85" s="58"/>
      <c r="E85" s="246"/>
      <c r="F85" s="68">
        <f>VLOOKUP(B85,'Calendario Tributario'!$D$3:$K$122,8,0)</f>
        <v>45646</v>
      </c>
      <c r="G85" s="161">
        <f t="shared" si="11"/>
        <v>0</v>
      </c>
      <c r="H85" s="1" t="str">
        <f>IF(AND(EOMONTH(DATE($A$73,MONTH("1-"&amp;A85&amp;"-"&amp;$A$73),1),0)&gt;=Generales!$B$4,DATE($A$73,MONTH("1-"&amp;A85&amp;"-"&amp;$A$73),1)&lt;=Generales!$C$4),"","FUERA DE RANGO")</f>
        <v>FUERA DE RANGO</v>
      </c>
    </row>
    <row r="86" spans="1:9">
      <c r="A86" s="3" t="s">
        <v>21</v>
      </c>
      <c r="B86" s="3" t="str">
        <f t="shared" si="10"/>
        <v>Diciembre9</v>
      </c>
      <c r="C86" s="151"/>
      <c r="D86" s="58"/>
      <c r="E86" s="246"/>
      <c r="F86" s="68">
        <f>VLOOKUP(B86,'Calendario Tributario'!$D$3:$K$122,8,0)</f>
        <v>45680</v>
      </c>
      <c r="G86" s="161">
        <f>IF(E86-F86&lt;0,0,E86-F86)</f>
        <v>0</v>
      </c>
      <c r="H86" s="1" t="str">
        <f>IF(AND(EOMONTH(DATE($A$73,MONTH("1-"&amp;A86&amp;"-"&amp;$A$73),1),0)&gt;=Generales!$B$4,DATE($A$73,MONTH("1-"&amp;A86&amp;"-"&amp;$A$73),1)&lt;=Generales!$C$4),"","FUERA DE RANGO")</f>
        <v>FUERA DE RANGO</v>
      </c>
    </row>
    <row r="87" spans="1:9">
      <c r="D87" s="59"/>
    </row>
    <row r="88" spans="1:9">
      <c r="A88" s="146">
        <v>2025</v>
      </c>
      <c r="B88" s="146"/>
      <c r="C88" s="10"/>
      <c r="D88" s="147"/>
      <c r="E88" s="18"/>
      <c r="F88" s="27"/>
      <c r="G88" s="10"/>
    </row>
    <row r="89" spans="1:9" ht="63">
      <c r="A89" s="148" t="s">
        <v>0</v>
      </c>
      <c r="B89" s="148"/>
      <c r="C89" s="149" t="s">
        <v>1</v>
      </c>
      <c r="D89" s="150" t="s">
        <v>2</v>
      </c>
      <c r="E89" s="168" t="s">
        <v>3</v>
      </c>
      <c r="F89" s="155" t="s">
        <v>4</v>
      </c>
      <c r="G89" s="155" t="s">
        <v>5</v>
      </c>
    </row>
    <row r="90" spans="1:9">
      <c r="A90" s="158" t="s">
        <v>22</v>
      </c>
      <c r="B90" s="3" t="str">
        <f t="shared" ref="B90:B99" si="12">CONCATENATE(A90,$C$1)</f>
        <v>Enero9</v>
      </c>
      <c r="C90" s="151"/>
      <c r="D90" s="239"/>
      <c r="E90" s="66"/>
      <c r="F90" s="175">
        <f>VLOOKUP(B90,'Calendario Tributario'!$D$3:$L$122,9,0)</f>
        <v>45709</v>
      </c>
      <c r="G90" s="161">
        <f>IF(E90-F90&lt;0,0,E90-F90)</f>
        <v>0</v>
      </c>
      <c r="H90" s="1" t="str">
        <f>IF(AND(EOMONTH(DATE($A$88,MONTH("1-"&amp;A90&amp;"-"&amp;$A$88),1),0)&gt;=Generales!$B$4,DATE($A$88,MONTH("1-"&amp;A90&amp;"-"&amp;$A$88),1)&lt;=Generales!$C$4),"","FUERA DE RANGO")</f>
        <v>FUERA DE RANGO</v>
      </c>
    </row>
    <row r="91" spans="1:9">
      <c r="A91" s="158" t="s">
        <v>23</v>
      </c>
      <c r="B91" s="3" t="str">
        <f t="shared" si="12"/>
        <v>Febrero9</v>
      </c>
      <c r="C91" s="151"/>
      <c r="D91" s="239"/>
      <c r="E91" s="66"/>
      <c r="F91" s="68">
        <f>VLOOKUP(B91,'Calendario Tributario'!$D$3:$L$122,9,0)</f>
        <v>45737</v>
      </c>
      <c r="G91" s="161">
        <f>IF(E91-F91&lt;0,0,E91-F91)</f>
        <v>0</v>
      </c>
      <c r="H91" s="1" t="str">
        <f>IF(AND(EOMONTH(DATE($A$88,MONTH("1-"&amp;A91&amp;"-"&amp;$A$88),1),0)&gt;=Generales!$B$4,DATE($A$88,MONTH("1-"&amp;A91&amp;"-"&amp;$A$88),1)&lt;=Generales!$C$4),"","FUERA DE RANGO")</f>
        <v>FUERA DE RANGO</v>
      </c>
    </row>
    <row r="92" spans="1:9">
      <c r="A92" s="158" t="s">
        <v>24</v>
      </c>
      <c r="B92" s="3" t="str">
        <f t="shared" si="12"/>
        <v>Marzo9</v>
      </c>
      <c r="C92" s="151"/>
      <c r="D92" s="239"/>
      <c r="E92" s="66"/>
      <c r="F92" s="68">
        <f>VLOOKUP(B92,'Calendario Tributario'!$D$3:$L$122,9,0)</f>
        <v>45770</v>
      </c>
      <c r="G92" s="161">
        <f t="shared" ref="G92:G101" si="13">IF(E92-F92&lt;0,0,E92-F92)</f>
        <v>0</v>
      </c>
      <c r="H92" s="1" t="str">
        <f>IF(AND(EOMONTH(DATE($A$88,MONTH("1-"&amp;A92&amp;"-"&amp;$A$88),1),0)&gt;=Generales!$B$4,DATE($A$88,MONTH("1-"&amp;A92&amp;"-"&amp;$A$88),1)&lt;=Generales!$C$4),"","FUERA DE RANGO")</f>
        <v>FUERA DE RANGO</v>
      </c>
    </row>
    <row r="93" spans="1:9">
      <c r="A93" s="158" t="s">
        <v>25</v>
      </c>
      <c r="B93" s="3" t="str">
        <f t="shared" si="12"/>
        <v>Abril9</v>
      </c>
      <c r="C93" s="151"/>
      <c r="D93" s="58"/>
      <c r="E93" s="246"/>
      <c r="F93" s="68">
        <f>VLOOKUP(B93,'Calendario Tributario'!$D$3:$L$122,9,0)</f>
        <v>45799</v>
      </c>
      <c r="G93" s="161">
        <f t="shared" si="13"/>
        <v>0</v>
      </c>
      <c r="H93" s="1" t="str">
        <f>IF(AND(EOMONTH(DATE($A$88,MONTH("1-"&amp;A93&amp;"-"&amp;$A$88),1),0)&gt;=Generales!$B$4,DATE($A$88,MONTH("1-"&amp;A93&amp;"-"&amp;$A$88),1)&lt;=Generales!$C$4),"","FUERA DE RANGO")</f>
        <v>FUERA DE RANGO</v>
      </c>
    </row>
    <row r="94" spans="1:9">
      <c r="A94" s="158" t="s">
        <v>14</v>
      </c>
      <c r="B94" s="3" t="str">
        <f t="shared" si="12"/>
        <v>Mayo9</v>
      </c>
      <c r="C94" s="151"/>
      <c r="D94" s="58"/>
      <c r="E94" s="246"/>
      <c r="F94" s="68">
        <f>VLOOKUP(B94,'Calendario Tributario'!$D$3:$L$122,9,0)</f>
        <v>45832</v>
      </c>
      <c r="G94" s="161">
        <f t="shared" si="13"/>
        <v>0</v>
      </c>
      <c r="H94" s="1" t="str">
        <f>IF(AND(EOMONTH(DATE($A$88,MONTH("1-"&amp;A94&amp;"-"&amp;$A$88),1),0)&gt;=Generales!$B$4,DATE($A$88,MONTH("1-"&amp;A94&amp;"-"&amp;$A$88),1)&lt;=Generales!$C$4),"","FUERA DE RANGO")</f>
        <v>FUERA DE RANGO</v>
      </c>
    </row>
    <row r="95" spans="1:9">
      <c r="A95" s="3" t="s">
        <v>15</v>
      </c>
      <c r="B95" s="3" t="str">
        <f t="shared" si="12"/>
        <v>Junio9</v>
      </c>
      <c r="C95" s="151"/>
      <c r="D95" s="58"/>
      <c r="E95" s="246"/>
      <c r="F95" s="68">
        <f>VLOOKUP(B95,'Calendario Tributario'!$D$3:$L$122,9,0)</f>
        <v>45859</v>
      </c>
      <c r="G95" s="161">
        <f t="shared" si="13"/>
        <v>0</v>
      </c>
      <c r="H95" s="1" t="str">
        <f>IF(AND(EOMONTH(DATE($A$88,MONTH("1-"&amp;A95&amp;"-"&amp;$A$88),1),0)&gt;=Generales!$B$4,DATE($A$88,MONTH("1-"&amp;A95&amp;"-"&amp;$A$88),1)&lt;=Generales!$C$4),"","FUERA DE RANGO")</f>
        <v>FUERA DE RANGO</v>
      </c>
    </row>
    <row r="96" spans="1:9">
      <c r="A96" s="3" t="s">
        <v>16</v>
      </c>
      <c r="B96" s="3" t="str">
        <f t="shared" si="12"/>
        <v>Julio9</v>
      </c>
      <c r="C96" s="151"/>
      <c r="D96" s="58"/>
      <c r="E96" s="246"/>
      <c r="F96" s="68">
        <f>VLOOKUP(B96,'Calendario Tributario'!$D$3:$L$122,9,0)</f>
        <v>45894</v>
      </c>
      <c r="G96" s="161">
        <f t="shared" si="13"/>
        <v>0</v>
      </c>
      <c r="H96" s="1" t="str">
        <f>IF(AND(EOMONTH(DATE($A$88,MONTH("1-"&amp;A96&amp;"-"&amp;$A$88),1),0)&gt;=Generales!$B$4,DATE($A$88,MONTH("1-"&amp;A96&amp;"-"&amp;$A$88),1)&lt;=Generales!$C$4),"","FUERA DE RANGO")</f>
        <v>FUERA DE RANGO</v>
      </c>
    </row>
    <row r="97" spans="1:8">
      <c r="A97" s="158" t="s">
        <v>17</v>
      </c>
      <c r="B97" s="3" t="str">
        <f t="shared" si="12"/>
        <v>Agosto9</v>
      </c>
      <c r="C97" s="151"/>
      <c r="D97" s="58"/>
      <c r="E97" s="246"/>
      <c r="F97" s="68">
        <f>VLOOKUP(B97,'Calendario Tributario'!$D$3:$L$122,9,0)</f>
        <v>45919</v>
      </c>
      <c r="G97" s="161">
        <f t="shared" si="13"/>
        <v>0</v>
      </c>
      <c r="H97" s="1" t="str">
        <f>IF(AND(EOMONTH(DATE($A$88,MONTH("1-"&amp;A97&amp;"-"&amp;$A$88),1),0)&gt;=Generales!$B$4,DATE($A$88,MONTH("1-"&amp;A97&amp;"-"&amp;$A$88),1)&lt;=Generales!$C$4),"","FUERA DE RANGO")</f>
        <v>FUERA DE RANGO</v>
      </c>
    </row>
    <row r="98" spans="1:8">
      <c r="A98" s="3" t="s">
        <v>18</v>
      </c>
      <c r="B98" s="3" t="str">
        <f t="shared" si="12"/>
        <v>Septiembre9</v>
      </c>
      <c r="C98" s="151"/>
      <c r="D98" s="164"/>
      <c r="E98" s="5"/>
      <c r="F98" s="68">
        <f>VLOOKUP(B98,'Calendario Tributario'!$D$3:$L$122,9,0)</f>
        <v>45952</v>
      </c>
      <c r="G98" s="161">
        <f t="shared" si="13"/>
        <v>0</v>
      </c>
      <c r="H98" s="1" t="str">
        <f>IF(AND(EOMONTH(DATE($A$88,MONTH("1-"&amp;A98&amp;"-"&amp;$A$88),1),0)&gt;=Generales!$B$4,DATE($A$88,MONTH("1-"&amp;A98&amp;"-"&amp;$A$88),1)&lt;=Generales!$C$4),"","FUERA DE RANGO")</f>
        <v/>
      </c>
    </row>
    <row r="99" spans="1:8">
      <c r="A99" s="3" t="s">
        <v>19</v>
      </c>
      <c r="B99" s="3" t="str">
        <f t="shared" si="12"/>
        <v>Octubre9</v>
      </c>
      <c r="C99" s="151"/>
      <c r="D99" s="164"/>
      <c r="E99" s="5"/>
      <c r="F99" s="68">
        <f>VLOOKUP(B99,'Calendario Tributario'!$D$3:$L$122,9,0)</f>
        <v>45986</v>
      </c>
      <c r="G99" s="161">
        <f t="shared" si="13"/>
        <v>0</v>
      </c>
      <c r="H99" s="1" t="str">
        <f>IF(AND(EOMONTH(DATE($A$88,MONTH("1-"&amp;A99&amp;"-"&amp;$A$88),1),0)&gt;=Generales!$B$4,DATE($A$88,MONTH("1-"&amp;A99&amp;"-"&amp;$A$88),1)&lt;=Generales!$C$4),"","FUERA DE RANGO")</f>
        <v/>
      </c>
    </row>
    <row r="100" spans="1:8">
      <c r="A100" s="3" t="s">
        <v>20</v>
      </c>
      <c r="B100" s="3" t="str">
        <f>CONCATENATE(A100,$C$1)</f>
        <v>Noviembre9</v>
      </c>
      <c r="C100" s="231"/>
      <c r="D100" s="164"/>
      <c r="E100" s="5"/>
      <c r="F100" s="68">
        <f>VLOOKUP(B100,'Calendario Tributario'!$D$3:$L$122,9,0)</f>
        <v>46013</v>
      </c>
      <c r="G100" s="161">
        <f t="shared" si="13"/>
        <v>0</v>
      </c>
      <c r="H100" s="1" t="str">
        <f>IF(AND(EOMONTH(DATE($A$88,MONTH("1-"&amp;A100&amp;"-"&amp;$A$88),1),0)&gt;=Generales!$B$4,DATE($A$88,MONTH("1-"&amp;A100&amp;"-"&amp;$A$88),1)&lt;=Generales!$C$4),"","FUERA DE RANGO")</f>
        <v/>
      </c>
    </row>
    <row r="101" spans="1:8">
      <c r="A101" s="3" t="s">
        <v>21</v>
      </c>
      <c r="B101" s="3" t="str">
        <f t="shared" ref="B101" si="14">CONCATENATE(A101,$C$1)</f>
        <v>Diciembre9</v>
      </c>
      <c r="C101" s="151"/>
      <c r="D101" s="164"/>
      <c r="E101" s="5"/>
      <c r="F101" s="68">
        <f>VLOOKUP(B101,'Calendario Tributario'!$D$3:$L$122,9,0)</f>
        <v>46045</v>
      </c>
      <c r="G101" s="161">
        <f t="shared" si="13"/>
        <v>0</v>
      </c>
      <c r="H101" s="1" t="str">
        <f>IF(AND(EOMONTH(DATE($A$88,MONTH("1-"&amp;A101&amp;"-"&amp;$A$88),1),0)&gt;=Generales!$B$4,DATE($A$88,MONTH("1-"&amp;A101&amp;"-"&amp;$A$88),1)&lt;=Generales!$C$4),"","FUERA DE RANGO")</f>
        <v/>
      </c>
    </row>
    <row r="102" spans="1:8">
      <c r="D102" s="59"/>
    </row>
  </sheetData>
  <phoneticPr fontId="12" type="noConversion"/>
  <conditionalFormatting sqref="D90:D97">
    <cfRule type="colorScale" priority="3">
      <colorScale>
        <cfvo type="min"/>
        <cfvo type="percentile" val="50"/>
        <cfvo type="max"/>
        <color rgb="FF5A8AC6"/>
        <color rgb="FFFCFCFF"/>
        <color rgb="FFF8696B"/>
      </colorScale>
    </cfRule>
  </conditionalFormatting>
  <conditionalFormatting sqref="D75:D86">
    <cfRule type="colorScale" priority="2">
      <colorScale>
        <cfvo type="min"/>
        <cfvo type="percentile" val="50"/>
        <cfvo type="max"/>
        <color rgb="FF5A8AC6"/>
        <color rgb="FFFCFCFF"/>
        <color rgb="FFF8696B"/>
      </colorScale>
    </cfRule>
  </conditionalFormatting>
  <conditionalFormatting sqref="D60:D71">
    <cfRule type="colorScale" priority="1">
      <colorScale>
        <cfvo type="min"/>
        <cfvo type="percentile" val="50"/>
        <cfvo type="max"/>
        <color rgb="FF5A8AC6"/>
        <color rgb="FFFCFCFF"/>
        <color rgb="FFF8696B"/>
      </colorScale>
    </cfRule>
  </conditionalFormatting>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6"/>
  <dimension ref="A1:N73"/>
  <sheetViews>
    <sheetView workbookViewId="0">
      <pane ySplit="1" topLeftCell="A51" activePane="bottomLeft" state="frozen"/>
      <selection activeCell="I25" sqref="I25"/>
      <selection pane="bottomLeft" activeCell="G69" sqref="G69"/>
    </sheetView>
  </sheetViews>
  <sheetFormatPr baseColWidth="10" defaultColWidth="11.42578125" defaultRowHeight="16.5"/>
  <cols>
    <col min="1" max="1" width="12.28515625" style="24" bestFit="1" customWidth="1"/>
    <col min="2" max="2" width="16.7109375" style="33" bestFit="1" customWidth="1"/>
    <col min="3" max="3" width="12.85546875" style="24" bestFit="1" customWidth="1"/>
    <col min="4" max="4" width="16.42578125" style="24" bestFit="1" customWidth="1"/>
    <col min="5" max="5" width="47.28515625" style="24" bestFit="1" customWidth="1"/>
    <col min="6" max="6" width="13.140625" style="19" bestFit="1" customWidth="1"/>
    <col min="7" max="7" width="13.140625" style="19" customWidth="1"/>
    <col min="8" max="8" width="20.7109375" style="19" bestFit="1" customWidth="1"/>
    <col min="9" max="9" width="12.28515625" style="19" bestFit="1" customWidth="1"/>
    <col min="10" max="10" width="18.7109375" style="19" bestFit="1" customWidth="1"/>
    <col min="11" max="11" width="14.28515625" style="19" customWidth="1"/>
    <col min="12" max="14" width="12.28515625" style="19" bestFit="1" customWidth="1"/>
    <col min="15" max="16384" width="11.42578125" style="19"/>
  </cols>
  <sheetData>
    <row r="1" spans="1:14">
      <c r="A1" s="22" t="s">
        <v>1</v>
      </c>
      <c r="B1" s="31" t="s">
        <v>2</v>
      </c>
      <c r="C1" s="22" t="s">
        <v>37</v>
      </c>
      <c r="D1" s="22" t="s">
        <v>44</v>
      </c>
      <c r="E1" s="22" t="s">
        <v>43</v>
      </c>
      <c r="F1" s="37" t="s">
        <v>347</v>
      </c>
    </row>
    <row r="2" spans="1:14">
      <c r="A2" s="21"/>
      <c r="B2" s="32"/>
      <c r="C2" s="20">
        <v>43617</v>
      </c>
      <c r="D2" s="20">
        <v>43586</v>
      </c>
      <c r="E2" s="21"/>
      <c r="F2" s="145" t="str">
        <f>IF((NETWORKDAYS(D2,C2))&gt;5,"SÍ "&amp;(NETWORKDAYS(D2,C2))&amp;" días","NO")</f>
        <v>SÍ 23 días</v>
      </c>
      <c r="G2" s="242"/>
      <c r="H2" s="144" t="s">
        <v>123</v>
      </c>
      <c r="I2" s="38">
        <v>28798900</v>
      </c>
      <c r="J2" s="37" t="s">
        <v>127</v>
      </c>
      <c r="K2" s="142"/>
    </row>
    <row r="3" spans="1:14">
      <c r="A3" s="21"/>
      <c r="B3" s="32"/>
      <c r="C3" s="34"/>
      <c r="D3" s="20"/>
      <c r="E3" s="21"/>
      <c r="F3" s="145" t="str">
        <f t="shared" ref="F3:F10" si="0">IF((NETWORKDAYS(D3,C3))&gt;5,"SÍ "&amp;(NETWORKDAYS(D3,C3))&amp;" días","NO")</f>
        <v>NO</v>
      </c>
      <c r="G3" s="242"/>
      <c r="H3" s="144" t="s">
        <v>124</v>
      </c>
      <c r="I3" s="38">
        <v>4326500</v>
      </c>
      <c r="J3" s="37" t="s">
        <v>125</v>
      </c>
      <c r="K3" s="38">
        <f>K2-I3</f>
        <v>-4326500</v>
      </c>
      <c r="L3" s="54"/>
      <c r="M3" s="54"/>
      <c r="N3" s="54"/>
    </row>
    <row r="4" spans="1:14">
      <c r="A4" s="21"/>
      <c r="B4" s="32"/>
      <c r="C4" s="34"/>
      <c r="D4" s="20"/>
      <c r="E4" s="21"/>
      <c r="F4" s="145" t="str">
        <f t="shared" si="0"/>
        <v>NO</v>
      </c>
      <c r="G4" s="55"/>
      <c r="L4" s="54"/>
    </row>
    <row r="5" spans="1:14">
      <c r="A5" s="21"/>
      <c r="B5" s="32"/>
      <c r="C5" s="20"/>
      <c r="D5" s="20"/>
      <c r="E5" s="21"/>
      <c r="F5" s="145" t="str">
        <f t="shared" si="0"/>
        <v>NO</v>
      </c>
      <c r="G5" s="55"/>
    </row>
    <row r="6" spans="1:14">
      <c r="A6" s="21"/>
      <c r="B6" s="32"/>
      <c r="C6" s="20"/>
      <c r="D6" s="20"/>
      <c r="E6" s="21"/>
      <c r="F6" s="145" t="str">
        <f t="shared" si="0"/>
        <v>NO</v>
      </c>
      <c r="G6" s="55"/>
    </row>
    <row r="7" spans="1:14">
      <c r="A7" s="21"/>
      <c r="B7" s="32"/>
      <c r="C7" s="20"/>
      <c r="D7" s="20"/>
      <c r="E7" s="21"/>
      <c r="F7" s="145" t="str">
        <f t="shared" si="0"/>
        <v>NO</v>
      </c>
      <c r="G7" s="55"/>
    </row>
    <row r="8" spans="1:14">
      <c r="A8" s="21"/>
      <c r="B8" s="32"/>
      <c r="C8" s="20"/>
      <c r="D8" s="20"/>
      <c r="E8" s="21"/>
      <c r="F8" s="145" t="str">
        <f t="shared" si="0"/>
        <v>NO</v>
      </c>
      <c r="G8" s="55"/>
    </row>
    <row r="9" spans="1:14">
      <c r="A9" s="21"/>
      <c r="B9" s="32"/>
      <c r="C9" s="20"/>
      <c r="D9" s="20"/>
      <c r="E9" s="21"/>
      <c r="F9" s="145" t="str">
        <f t="shared" si="0"/>
        <v>NO</v>
      </c>
      <c r="G9" s="55"/>
    </row>
    <row r="10" spans="1:14">
      <c r="A10" s="21"/>
      <c r="B10" s="32"/>
      <c r="C10" s="20"/>
      <c r="D10" s="20"/>
      <c r="E10" s="21"/>
      <c r="F10" s="145" t="str">
        <f t="shared" si="0"/>
        <v>NO</v>
      </c>
      <c r="G10" s="55"/>
    </row>
    <row r="12" spans="1:14">
      <c r="A12" s="21" t="s">
        <v>40</v>
      </c>
      <c r="B12" s="30"/>
      <c r="C12" s="23"/>
      <c r="D12" s="25"/>
    </row>
    <row r="13" spans="1:14">
      <c r="A13" s="22" t="s">
        <v>1</v>
      </c>
      <c r="B13" s="31" t="s">
        <v>2</v>
      </c>
      <c r="C13" s="22" t="s">
        <v>37</v>
      </c>
      <c r="D13" s="22" t="s">
        <v>44</v>
      </c>
      <c r="E13" s="22" t="s">
        <v>43</v>
      </c>
      <c r="F13" s="37" t="s">
        <v>347</v>
      </c>
    </row>
    <row r="14" spans="1:14">
      <c r="A14" s="21"/>
      <c r="B14" s="32"/>
      <c r="C14" s="34"/>
      <c r="D14" s="20"/>
      <c r="E14" s="21"/>
      <c r="F14" s="145" t="str">
        <f>IF((NETWORKDAYS(D14,C14))&gt;5,"SÍ "&amp;(NETWORKDAYS(D14,C14))&amp;" días","NO")</f>
        <v>NO</v>
      </c>
      <c r="G14" s="242"/>
      <c r="H14" s="144" t="s">
        <v>123</v>
      </c>
      <c r="I14" s="38">
        <v>29893300</v>
      </c>
      <c r="J14" s="37" t="s">
        <v>126</v>
      </c>
      <c r="K14" s="143"/>
    </row>
    <row r="15" spans="1:14">
      <c r="A15" s="21"/>
      <c r="B15" s="32"/>
      <c r="C15" s="20"/>
      <c r="D15" s="20"/>
      <c r="E15" s="21"/>
      <c r="F15" s="145" t="str">
        <f t="shared" ref="F15:F21" si="1">IF((NETWORKDAYS(D15,C15))&gt;5,"SÍ "&amp;(NETWORKDAYS(D15,C15))&amp;" días","NO")</f>
        <v>NO</v>
      </c>
      <c r="G15" s="242"/>
      <c r="H15" s="144" t="s">
        <v>124</v>
      </c>
      <c r="I15" s="38">
        <v>4490900</v>
      </c>
      <c r="J15" s="37" t="s">
        <v>125</v>
      </c>
      <c r="K15" s="38">
        <f>K14-I15</f>
        <v>-4490900</v>
      </c>
    </row>
    <row r="16" spans="1:14">
      <c r="A16" s="21"/>
      <c r="B16" s="32"/>
      <c r="C16" s="20"/>
      <c r="D16" s="20"/>
      <c r="E16" s="21"/>
      <c r="F16" s="145" t="str">
        <f t="shared" si="1"/>
        <v>NO</v>
      </c>
      <c r="G16" s="55"/>
    </row>
    <row r="17" spans="1:11">
      <c r="A17" s="21"/>
      <c r="B17" s="32"/>
      <c r="C17" s="20"/>
      <c r="D17" s="20"/>
      <c r="E17" s="21"/>
      <c r="F17" s="145" t="str">
        <f t="shared" si="1"/>
        <v>NO</v>
      </c>
      <c r="G17" s="55"/>
    </row>
    <row r="18" spans="1:11">
      <c r="A18" s="21"/>
      <c r="B18" s="32"/>
      <c r="C18" s="20"/>
      <c r="D18" s="20"/>
      <c r="E18" s="21"/>
      <c r="F18" s="145" t="str">
        <f t="shared" si="1"/>
        <v>NO</v>
      </c>
      <c r="G18" s="55"/>
    </row>
    <row r="19" spans="1:11">
      <c r="A19" s="21"/>
      <c r="B19" s="32"/>
      <c r="C19" s="20"/>
      <c r="D19" s="20"/>
      <c r="E19" s="21"/>
      <c r="F19" s="145" t="str">
        <f t="shared" si="1"/>
        <v>NO</v>
      </c>
      <c r="G19" s="55"/>
    </row>
    <row r="20" spans="1:11">
      <c r="A20" s="21"/>
      <c r="B20" s="32"/>
      <c r="C20" s="20"/>
      <c r="D20" s="20"/>
      <c r="E20" s="21"/>
      <c r="F20" s="145" t="str">
        <f t="shared" si="1"/>
        <v>NO</v>
      </c>
      <c r="G20" s="55"/>
    </row>
    <row r="21" spans="1:11">
      <c r="A21" s="21"/>
      <c r="B21" s="32"/>
      <c r="C21" s="20"/>
      <c r="D21" s="20"/>
      <c r="E21" s="21"/>
      <c r="F21" s="145" t="str">
        <f t="shared" si="1"/>
        <v>NO</v>
      </c>
      <c r="G21" s="55"/>
    </row>
    <row r="22" spans="1:11">
      <c r="F22" s="55"/>
      <c r="G22" s="55"/>
    </row>
    <row r="23" spans="1:11">
      <c r="A23" s="21" t="s">
        <v>41</v>
      </c>
      <c r="B23" s="30"/>
      <c r="C23" s="23"/>
      <c r="D23" s="25"/>
    </row>
    <row r="24" spans="1:11">
      <c r="A24" s="22" t="s">
        <v>1</v>
      </c>
      <c r="B24" s="31" t="s">
        <v>2</v>
      </c>
      <c r="C24" s="22" t="s">
        <v>37</v>
      </c>
      <c r="D24" s="22" t="s">
        <v>44</v>
      </c>
      <c r="E24" s="22" t="s">
        <v>43</v>
      </c>
      <c r="F24" s="37" t="s">
        <v>347</v>
      </c>
      <c r="G24" s="37" t="s">
        <v>361</v>
      </c>
      <c r="H24" s="37" t="s">
        <v>123</v>
      </c>
      <c r="I24" s="38">
        <v>30374600</v>
      </c>
      <c r="J24" s="37" t="s">
        <v>127</v>
      </c>
      <c r="K24" s="142"/>
    </row>
    <row r="25" spans="1:11" ht="214.5">
      <c r="A25" s="21"/>
      <c r="B25" s="32"/>
      <c r="C25" s="20"/>
      <c r="D25" s="20"/>
      <c r="E25" s="21"/>
      <c r="F25" s="145" t="str">
        <f t="shared" ref="F25:F32" si="2">IF((NETWORKDAYS(D25,C25))&gt;5,"SÍ "&amp;(NETWORKDAYS(D25,C25))&amp;" días","NO")</f>
        <v>NO</v>
      </c>
      <c r="G25" s="242" t="s">
        <v>362</v>
      </c>
      <c r="H25" s="144" t="s">
        <v>124</v>
      </c>
      <c r="I25" s="38">
        <v>4563200</v>
      </c>
      <c r="J25" s="37" t="s">
        <v>125</v>
      </c>
      <c r="K25" s="38">
        <f>K24-I24</f>
        <v>-30374600</v>
      </c>
    </row>
    <row r="26" spans="1:11" ht="66">
      <c r="A26" s="21"/>
      <c r="B26" s="32"/>
      <c r="C26" s="20"/>
      <c r="D26" s="20"/>
      <c r="E26" s="21"/>
      <c r="F26" s="145" t="str">
        <f t="shared" si="2"/>
        <v>NO</v>
      </c>
      <c r="G26" s="55" t="s">
        <v>363</v>
      </c>
    </row>
    <row r="27" spans="1:11">
      <c r="A27" s="21"/>
      <c r="B27" s="32"/>
      <c r="C27" s="20"/>
      <c r="D27" s="20"/>
      <c r="E27" s="51"/>
      <c r="F27" s="145" t="str">
        <f t="shared" si="2"/>
        <v>NO</v>
      </c>
      <c r="G27" s="55"/>
    </row>
    <row r="28" spans="1:11">
      <c r="A28" s="21"/>
      <c r="B28" s="32"/>
      <c r="C28" s="20"/>
      <c r="D28" s="20"/>
      <c r="E28" s="21"/>
      <c r="F28" s="145" t="str">
        <f t="shared" si="2"/>
        <v>NO</v>
      </c>
    </row>
    <row r="29" spans="1:11">
      <c r="A29" s="21"/>
      <c r="B29" s="32"/>
      <c r="C29" s="20"/>
      <c r="D29" s="20"/>
      <c r="E29" s="21"/>
      <c r="F29" s="145" t="str">
        <f t="shared" si="2"/>
        <v>NO</v>
      </c>
      <c r="G29" s="55"/>
    </row>
    <row r="30" spans="1:11">
      <c r="A30" s="21"/>
      <c r="B30" s="32"/>
      <c r="C30" s="20"/>
      <c r="D30" s="20"/>
      <c r="E30" s="21"/>
      <c r="F30" s="145" t="str">
        <f t="shared" si="2"/>
        <v>NO</v>
      </c>
      <c r="G30" s="55"/>
    </row>
    <row r="31" spans="1:11">
      <c r="A31" s="21"/>
      <c r="B31" s="32"/>
      <c r="C31" s="20"/>
      <c r="D31" s="20"/>
      <c r="E31" s="21"/>
      <c r="F31" s="145" t="str">
        <f t="shared" si="2"/>
        <v>NO</v>
      </c>
      <c r="G31" s="55"/>
    </row>
    <row r="32" spans="1:11">
      <c r="A32" s="21"/>
      <c r="B32" s="32"/>
      <c r="C32" s="20"/>
      <c r="D32" s="20"/>
      <c r="E32" s="21"/>
      <c r="F32" s="145" t="str">
        <f t="shared" si="2"/>
        <v>NO</v>
      </c>
      <c r="G32" s="55"/>
    </row>
    <row r="35" spans="1:13">
      <c r="A35" s="21" t="s">
        <v>42</v>
      </c>
      <c r="B35" s="30"/>
      <c r="C35" s="23"/>
      <c r="D35" s="25"/>
    </row>
    <row r="36" spans="1:13">
      <c r="A36" s="22" t="s">
        <v>1</v>
      </c>
      <c r="B36" s="31" t="s">
        <v>2</v>
      </c>
      <c r="C36" s="22" t="s">
        <v>37</v>
      </c>
      <c r="D36" s="22" t="s">
        <v>44</v>
      </c>
      <c r="E36" s="22" t="s">
        <v>43</v>
      </c>
      <c r="F36" s="37" t="s">
        <v>347</v>
      </c>
      <c r="G36" s="37"/>
      <c r="H36" s="37" t="s">
        <v>123</v>
      </c>
      <c r="I36" s="38">
        <v>32081700</v>
      </c>
      <c r="J36" s="37" t="s">
        <v>127</v>
      </c>
      <c r="K36" s="143"/>
    </row>
    <row r="37" spans="1:13">
      <c r="A37" s="21"/>
      <c r="B37" s="32"/>
      <c r="C37" s="20"/>
      <c r="D37" s="34"/>
      <c r="E37" s="51"/>
      <c r="F37" s="145" t="str">
        <f>IF((NETWORKDAYS(D37,C37))&gt;5,"SÍ "&amp;(NETWORKDAYS(D37,C37))&amp;" días","NO")</f>
        <v>NO</v>
      </c>
      <c r="G37" s="55"/>
      <c r="H37" s="144" t="s">
        <v>124</v>
      </c>
      <c r="I37" s="38">
        <v>4819700</v>
      </c>
      <c r="J37" s="37" t="s">
        <v>125</v>
      </c>
      <c r="K37" s="38">
        <f>K36-I36</f>
        <v>-32081700</v>
      </c>
      <c r="M37" s="54"/>
    </row>
    <row r="38" spans="1:13">
      <c r="A38" s="21"/>
      <c r="B38" s="32"/>
      <c r="C38" s="20"/>
      <c r="D38" s="20"/>
      <c r="E38" s="21"/>
      <c r="F38" s="145" t="str">
        <f t="shared" ref="F38:F43" si="3">IF((NETWORKDAYS(D38,C38))&gt;5,"SÍ "&amp;(NETWORKDAYS(D38,C38))&amp;" días","NO")</f>
        <v>NO</v>
      </c>
      <c r="G38" s="55"/>
      <c r="M38" s="52"/>
    </row>
    <row r="39" spans="1:13">
      <c r="A39" s="21"/>
      <c r="B39" s="32"/>
      <c r="C39" s="20"/>
      <c r="D39" s="20"/>
      <c r="E39" s="51"/>
      <c r="F39" s="145" t="str">
        <f t="shared" si="3"/>
        <v>NO</v>
      </c>
      <c r="G39" s="55"/>
    </row>
    <row r="40" spans="1:13">
      <c r="A40" s="21"/>
      <c r="B40" s="32"/>
      <c r="C40" s="20"/>
      <c r="D40" s="20"/>
      <c r="E40" s="21"/>
      <c r="F40" s="145" t="str">
        <f t="shared" si="3"/>
        <v>NO</v>
      </c>
      <c r="G40" s="55"/>
    </row>
    <row r="41" spans="1:13">
      <c r="A41" s="21"/>
      <c r="B41" s="32"/>
      <c r="C41" s="20"/>
      <c r="D41" s="20"/>
      <c r="E41" s="21"/>
      <c r="F41" s="145" t="str">
        <f>IF((NETWORKDAYS(D41,C41))&gt;5,"SÍ "&amp;(NETWORKDAYS(D41,C41))&amp;" días","NO")</f>
        <v>NO</v>
      </c>
      <c r="G41" s="55"/>
    </row>
    <row r="42" spans="1:13">
      <c r="A42" s="21"/>
      <c r="B42" s="32"/>
      <c r="C42" s="20"/>
      <c r="D42" s="20"/>
      <c r="E42" s="21"/>
      <c r="F42" s="145" t="str">
        <f t="shared" si="3"/>
        <v>NO</v>
      </c>
      <c r="G42" s="55"/>
    </row>
    <row r="43" spans="1:13">
      <c r="A43" s="21"/>
      <c r="B43" s="32"/>
      <c r="C43" s="20"/>
      <c r="D43" s="20"/>
      <c r="E43" s="21"/>
      <c r="F43" s="145" t="str">
        <f t="shared" si="3"/>
        <v>NO</v>
      </c>
      <c r="G43" s="55"/>
    </row>
    <row r="45" spans="1:13">
      <c r="A45" s="21" t="s">
        <v>65</v>
      </c>
      <c r="B45" s="30"/>
      <c r="C45" s="23"/>
      <c r="D45" s="25"/>
    </row>
    <row r="46" spans="1:13">
      <c r="A46" s="22" t="s">
        <v>1</v>
      </c>
      <c r="B46" s="31" t="s">
        <v>2</v>
      </c>
      <c r="C46" s="22" t="s">
        <v>37</v>
      </c>
      <c r="D46" s="22" t="s">
        <v>44</v>
      </c>
      <c r="E46" s="22" t="s">
        <v>43</v>
      </c>
      <c r="F46" s="37" t="s">
        <v>347</v>
      </c>
      <c r="G46" s="37"/>
      <c r="H46" s="37" t="s">
        <v>123</v>
      </c>
      <c r="I46" s="38">
        <v>36290800</v>
      </c>
      <c r="J46" s="37" t="s">
        <v>127</v>
      </c>
      <c r="K46" s="143"/>
    </row>
    <row r="47" spans="1:13">
      <c r="A47" s="138"/>
      <c r="B47" s="139"/>
      <c r="C47" s="140"/>
      <c r="D47" s="140"/>
      <c r="E47" s="141"/>
      <c r="F47" s="145" t="str">
        <f t="shared" ref="F47:F53" si="4">IF((NETWORKDAYS(D47,C47))&gt;5,"SÍ "&amp;(NETWORKDAYS(D47,C47))&amp;" días","NO")</f>
        <v>NO</v>
      </c>
      <c r="G47" s="242"/>
      <c r="H47" s="144" t="s">
        <v>124</v>
      </c>
      <c r="I47" s="38">
        <v>5452000</v>
      </c>
      <c r="J47" s="37" t="s">
        <v>125</v>
      </c>
      <c r="K47" s="38">
        <f>K46-I47</f>
        <v>-5452000</v>
      </c>
    </row>
    <row r="48" spans="1:13">
      <c r="A48" s="21"/>
      <c r="B48" s="32"/>
      <c r="C48" s="20"/>
      <c r="D48" s="20"/>
      <c r="E48" s="60"/>
      <c r="F48" s="145" t="str">
        <f>IF((NETWORKDAYS(D48,C48))&gt;5,"SÍ "&amp;(NETWORKDAYS(D48,C48))&amp;" días","NO")</f>
        <v>NO</v>
      </c>
      <c r="G48" s="55"/>
    </row>
    <row r="49" spans="1:11">
      <c r="A49" s="21"/>
      <c r="B49" s="32"/>
      <c r="C49" s="20"/>
      <c r="D49" s="20"/>
      <c r="E49" s="60"/>
      <c r="F49" s="145" t="str">
        <f>IF((NETWORKDAYS(D49,C49))&gt;5,"SÍ "&amp;(NETWORKDAYS(D49,C49))&amp;" días","NO")</f>
        <v>NO</v>
      </c>
      <c r="G49" s="55"/>
    </row>
    <row r="50" spans="1:11">
      <c r="A50" s="21"/>
      <c r="B50" s="32"/>
      <c r="C50" s="20"/>
      <c r="D50" s="20"/>
      <c r="E50" s="21"/>
      <c r="F50" s="145" t="str">
        <f t="shared" si="4"/>
        <v>NO</v>
      </c>
      <c r="G50" s="55"/>
      <c r="H50" s="19" t="s">
        <v>353</v>
      </c>
    </row>
    <row r="51" spans="1:11">
      <c r="A51" s="21"/>
      <c r="B51" s="32"/>
      <c r="C51" s="20"/>
      <c r="D51" s="20"/>
      <c r="E51" s="21"/>
      <c r="F51" s="145" t="str">
        <f t="shared" si="4"/>
        <v>NO</v>
      </c>
      <c r="G51" s="55"/>
    </row>
    <row r="52" spans="1:11">
      <c r="A52" s="21"/>
      <c r="B52" s="32"/>
      <c r="C52" s="20"/>
      <c r="D52" s="20"/>
      <c r="E52" s="21"/>
      <c r="F52" s="145" t="str">
        <f t="shared" si="4"/>
        <v>NO</v>
      </c>
      <c r="G52" s="55"/>
    </row>
    <row r="53" spans="1:11">
      <c r="A53" s="21"/>
      <c r="B53" s="32"/>
      <c r="C53" s="20"/>
      <c r="D53" s="20"/>
      <c r="E53" s="21"/>
      <c r="F53" s="145" t="str">
        <f t="shared" si="4"/>
        <v>NO</v>
      </c>
      <c r="G53" s="55"/>
    </row>
    <row r="55" spans="1:11">
      <c r="A55" s="21" t="s">
        <v>67</v>
      </c>
      <c r="B55" s="30"/>
      <c r="C55" s="23"/>
      <c r="D55" s="25"/>
    </row>
    <row r="56" spans="1:11">
      <c r="A56" s="22" t="s">
        <v>1</v>
      </c>
      <c r="B56" s="31" t="s">
        <v>2</v>
      </c>
      <c r="C56" s="22" t="s">
        <v>37</v>
      </c>
      <c r="D56" s="22" t="s">
        <v>44</v>
      </c>
      <c r="E56" s="22" t="s">
        <v>43</v>
      </c>
      <c r="F56" s="37" t="s">
        <v>347</v>
      </c>
      <c r="G56" s="37"/>
      <c r="H56" s="37" t="s">
        <v>123</v>
      </c>
      <c r="I56" s="38">
        <v>39658600</v>
      </c>
      <c r="J56" s="37" t="s">
        <v>127</v>
      </c>
      <c r="K56" s="142"/>
    </row>
    <row r="57" spans="1:11">
      <c r="A57" s="21"/>
      <c r="B57" s="32"/>
      <c r="C57" s="20"/>
      <c r="D57" s="20"/>
      <c r="E57" s="21"/>
      <c r="F57" s="145" t="str">
        <f t="shared" ref="F57:F63" si="5">IF((NETWORKDAYS(D57,C57))&gt;5,"SÍ "&amp;(NETWORKDAYS(D57,C57))&amp;" días","NO")</f>
        <v>NO</v>
      </c>
      <c r="G57" s="242"/>
      <c r="H57" s="144" t="s">
        <v>124</v>
      </c>
      <c r="I57" s="38">
        <v>5957900</v>
      </c>
      <c r="J57" s="37" t="s">
        <v>125</v>
      </c>
      <c r="K57" s="38">
        <f>K56-I56</f>
        <v>-39658600</v>
      </c>
    </row>
    <row r="58" spans="1:11">
      <c r="A58" s="21"/>
      <c r="B58" s="32"/>
      <c r="C58" s="20"/>
      <c r="D58" s="20"/>
      <c r="E58" s="21"/>
      <c r="F58" s="145" t="str">
        <f t="shared" si="5"/>
        <v>NO</v>
      </c>
      <c r="G58" s="55"/>
    </row>
    <row r="59" spans="1:11">
      <c r="A59" s="21"/>
      <c r="B59" s="32"/>
      <c r="C59" s="20"/>
      <c r="D59" s="20"/>
      <c r="E59" s="21"/>
      <c r="F59" s="145" t="str">
        <f t="shared" si="5"/>
        <v>NO</v>
      </c>
      <c r="G59" s="55"/>
    </row>
    <row r="60" spans="1:11">
      <c r="A60" s="21"/>
      <c r="B60" s="32"/>
      <c r="C60" s="20"/>
      <c r="D60" s="20"/>
      <c r="E60" s="21"/>
      <c r="F60" s="145" t="str">
        <f t="shared" si="5"/>
        <v>NO</v>
      </c>
      <c r="G60" s="55"/>
    </row>
    <row r="61" spans="1:11">
      <c r="A61" s="21"/>
      <c r="B61" s="32"/>
      <c r="C61" s="20"/>
      <c r="D61" s="20"/>
      <c r="E61" s="21"/>
      <c r="F61" s="145" t="str">
        <f t="shared" si="5"/>
        <v>NO</v>
      </c>
      <c r="G61" s="55"/>
    </row>
    <row r="62" spans="1:11">
      <c r="A62" s="21"/>
      <c r="B62" s="32"/>
      <c r="C62" s="20"/>
      <c r="D62" s="20"/>
      <c r="E62" s="21"/>
      <c r="F62" s="145" t="str">
        <f t="shared" si="5"/>
        <v>NO</v>
      </c>
      <c r="G62" s="55"/>
    </row>
    <row r="63" spans="1:11">
      <c r="A63" s="21"/>
      <c r="B63" s="32"/>
      <c r="C63" s="20"/>
      <c r="D63" s="20"/>
      <c r="E63" s="21"/>
      <c r="F63" s="145" t="str">
        <f t="shared" si="5"/>
        <v>NO</v>
      </c>
      <c r="G63" s="55"/>
    </row>
    <row r="65" spans="1:11">
      <c r="A65" s="21" t="s">
        <v>306</v>
      </c>
      <c r="B65" s="30"/>
      <c r="C65" s="23"/>
      <c r="D65" s="25"/>
    </row>
    <row r="66" spans="1:11">
      <c r="A66" s="22" t="s">
        <v>1</v>
      </c>
      <c r="B66" s="31" t="s">
        <v>2</v>
      </c>
      <c r="C66" s="22" t="s">
        <v>37</v>
      </c>
      <c r="D66" s="22" t="s">
        <v>44</v>
      </c>
      <c r="E66" s="22" t="s">
        <v>43</v>
      </c>
      <c r="F66" s="37" t="s">
        <v>347</v>
      </c>
      <c r="G66" s="37"/>
      <c r="H66" s="37" t="s">
        <v>123</v>
      </c>
      <c r="I66" s="38">
        <v>41720800</v>
      </c>
      <c r="J66" s="37" t="s">
        <v>127</v>
      </c>
      <c r="K66" s="142"/>
    </row>
    <row r="67" spans="1:11">
      <c r="A67" s="21"/>
      <c r="B67" s="32"/>
      <c r="C67" s="20"/>
      <c r="D67" s="20"/>
      <c r="E67" s="21"/>
      <c r="F67" s="145" t="str">
        <f t="shared" ref="F67:F73" si="6">IF((NETWORKDAYS(D67,C67))&gt;5,"SÍ "&amp;(NETWORKDAYS(D67,C67))&amp;" días","NO")</f>
        <v>NO</v>
      </c>
      <c r="G67" s="242"/>
      <c r="H67" s="144" t="s">
        <v>124</v>
      </c>
      <c r="I67" s="38">
        <v>6267700</v>
      </c>
      <c r="J67" s="37" t="s">
        <v>125</v>
      </c>
      <c r="K67" s="38">
        <f>K66-I66</f>
        <v>-41720800</v>
      </c>
    </row>
    <row r="68" spans="1:11">
      <c r="A68" s="21"/>
      <c r="B68" s="32"/>
      <c r="C68" s="20"/>
      <c r="D68" s="20"/>
      <c r="E68" s="21"/>
      <c r="F68" s="145" t="str">
        <f t="shared" si="6"/>
        <v>NO</v>
      </c>
      <c r="G68" s="55"/>
    </row>
    <row r="69" spans="1:11">
      <c r="A69" s="21"/>
      <c r="B69" s="32"/>
      <c r="C69" s="20"/>
      <c r="D69" s="20"/>
      <c r="E69" s="21"/>
      <c r="F69" s="145" t="str">
        <f t="shared" si="6"/>
        <v>NO</v>
      </c>
      <c r="G69" s="55"/>
    </row>
    <row r="70" spans="1:11">
      <c r="A70" s="21"/>
      <c r="B70" s="32"/>
      <c r="C70" s="20"/>
      <c r="D70" s="20"/>
      <c r="E70" s="21"/>
      <c r="F70" s="145" t="str">
        <f t="shared" si="6"/>
        <v>NO</v>
      </c>
      <c r="G70" s="55"/>
    </row>
    <row r="71" spans="1:11">
      <c r="A71" s="21"/>
      <c r="B71" s="32"/>
      <c r="C71" s="20"/>
      <c r="D71" s="20"/>
      <c r="E71" s="21"/>
      <c r="F71" s="145" t="str">
        <f t="shared" si="6"/>
        <v>NO</v>
      </c>
      <c r="G71" s="55"/>
    </row>
    <row r="72" spans="1:11">
      <c r="A72" s="21"/>
      <c r="B72" s="32"/>
      <c r="C72" s="20"/>
      <c r="D72" s="20"/>
      <c r="E72" s="21"/>
      <c r="F72" s="145" t="str">
        <f t="shared" si="6"/>
        <v>NO</v>
      </c>
      <c r="G72" s="55"/>
    </row>
    <row r="73" spans="1:11">
      <c r="A73" s="21"/>
      <c r="B73" s="32"/>
      <c r="C73" s="20"/>
      <c r="D73" s="20"/>
      <c r="E73" s="21"/>
      <c r="F73" s="145" t="str">
        <f t="shared" si="6"/>
        <v>NO</v>
      </c>
      <c r="G73" s="55"/>
    </row>
  </sheetData>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9"/>
  <dimension ref="A1:G62"/>
  <sheetViews>
    <sheetView topLeftCell="A53" zoomScale="103" workbookViewId="0">
      <selection activeCell="D79" sqref="D79"/>
    </sheetView>
  </sheetViews>
  <sheetFormatPr baseColWidth="10" defaultRowHeight="15"/>
  <cols>
    <col min="1" max="1" width="20.7109375" customWidth="1"/>
    <col min="2" max="2" width="18.140625" customWidth="1"/>
    <col min="3" max="3" width="25" customWidth="1"/>
    <col min="4" max="4" width="19.7109375" customWidth="1"/>
    <col min="5" max="5" width="18" customWidth="1"/>
    <col min="6" max="6" width="19.7109375" customWidth="1"/>
  </cols>
  <sheetData>
    <row r="1" spans="1:6" ht="15.75">
      <c r="A1" s="179" t="s">
        <v>32</v>
      </c>
      <c r="B1" s="10"/>
      <c r="C1" s="147"/>
      <c r="D1" s="18"/>
      <c r="E1" s="10"/>
      <c r="F1" s="10"/>
    </row>
    <row r="2" spans="1:6" ht="47.25">
      <c r="A2" s="156" t="s">
        <v>71</v>
      </c>
      <c r="B2" s="156" t="s">
        <v>1</v>
      </c>
      <c r="C2" s="180" t="s">
        <v>2</v>
      </c>
      <c r="D2" s="155" t="s">
        <v>3</v>
      </c>
      <c r="E2" s="155" t="s">
        <v>7</v>
      </c>
      <c r="F2" s="155" t="s">
        <v>5</v>
      </c>
    </row>
    <row r="3" spans="1:6" ht="15.75">
      <c r="A3" s="158" t="s">
        <v>69</v>
      </c>
      <c r="B3" s="151"/>
      <c r="C3" s="181"/>
      <c r="D3" s="167"/>
      <c r="E3" s="5"/>
      <c r="F3" s="151">
        <f>IF(D3-E3&gt;0,D3-E3,0)</f>
        <v>0</v>
      </c>
    </row>
    <row r="4" spans="1:6" ht="15.75">
      <c r="A4" s="158" t="s">
        <v>49</v>
      </c>
      <c r="B4" s="151"/>
      <c r="C4" s="181"/>
      <c r="D4" s="167"/>
      <c r="E4" s="5"/>
      <c r="F4" s="151">
        <f t="shared" ref="F4:F8" si="0">IF(D4-E4&gt;0,D4-E4,0)</f>
        <v>0</v>
      </c>
    </row>
    <row r="5" spans="1:6" ht="15.75">
      <c r="A5" s="158" t="s">
        <v>50</v>
      </c>
      <c r="B5" s="151"/>
      <c r="C5" s="181"/>
      <c r="D5" s="167"/>
      <c r="E5" s="5"/>
      <c r="F5" s="151">
        <f t="shared" si="0"/>
        <v>0</v>
      </c>
    </row>
    <row r="6" spans="1:6" ht="15.75">
      <c r="A6" s="158" t="s">
        <v>70</v>
      </c>
      <c r="B6" s="151"/>
      <c r="C6" s="58"/>
      <c r="D6" s="167"/>
      <c r="E6" s="5">
        <f>Retefuente!F7</f>
        <v>43719</v>
      </c>
      <c r="F6" s="151">
        <f t="shared" si="0"/>
        <v>0</v>
      </c>
    </row>
    <row r="7" spans="1:6" ht="15.75">
      <c r="A7" s="158" t="s">
        <v>47</v>
      </c>
      <c r="B7" s="151"/>
      <c r="C7" s="58"/>
      <c r="D7" s="167"/>
      <c r="E7" s="5">
        <f>Retefuente!F9</f>
        <v>43782</v>
      </c>
      <c r="F7" s="151">
        <f t="shared" si="0"/>
        <v>0</v>
      </c>
    </row>
    <row r="8" spans="1:6" ht="15.75">
      <c r="A8" s="158" t="s">
        <v>48</v>
      </c>
      <c r="B8" s="151"/>
      <c r="C8" s="58"/>
      <c r="D8" s="167"/>
      <c r="E8" s="5">
        <f>Retefuente!F11</f>
        <v>43843</v>
      </c>
      <c r="F8" s="151">
        <f t="shared" si="0"/>
        <v>0</v>
      </c>
    </row>
    <row r="9" spans="1:6" ht="15.75">
      <c r="A9" s="1"/>
      <c r="B9" s="1"/>
      <c r="C9" s="59"/>
      <c r="D9" s="2"/>
      <c r="E9" s="1"/>
      <c r="F9" s="1"/>
    </row>
    <row r="10" spans="1:6" ht="15.75">
      <c r="A10" s="179" t="s">
        <v>40</v>
      </c>
      <c r="B10" s="10"/>
      <c r="C10" s="147"/>
      <c r="D10" s="18"/>
      <c r="E10" s="10"/>
      <c r="F10" s="10"/>
    </row>
    <row r="11" spans="1:6" ht="47.25">
      <c r="A11" s="156" t="s">
        <v>71</v>
      </c>
      <c r="B11" s="156" t="s">
        <v>1</v>
      </c>
      <c r="C11" s="180" t="s">
        <v>2</v>
      </c>
      <c r="D11" s="155" t="s">
        <v>3</v>
      </c>
      <c r="E11" s="155" t="s">
        <v>7</v>
      </c>
      <c r="F11" s="155" t="s">
        <v>5</v>
      </c>
    </row>
    <row r="12" spans="1:6" ht="15.75">
      <c r="A12" s="158" t="s">
        <v>69</v>
      </c>
      <c r="B12" s="151"/>
      <c r="C12" s="181"/>
      <c r="D12" s="167"/>
      <c r="E12" s="167">
        <f>Retefuente!F16</f>
        <v>43901</v>
      </c>
      <c r="F12" s="151">
        <f t="shared" ref="F12:F17" si="1">IF(D12-E12&gt;0,D12-E12,0)</f>
        <v>0</v>
      </c>
    </row>
    <row r="13" spans="1:6" ht="15.75">
      <c r="A13" s="158" t="s">
        <v>49</v>
      </c>
      <c r="E13" s="167">
        <f>Retefuente!F18</f>
        <v>43964</v>
      </c>
      <c r="F13" s="151">
        <f t="shared" si="1"/>
        <v>0</v>
      </c>
    </row>
    <row r="14" spans="1:6" ht="15.75">
      <c r="A14" s="158" t="s">
        <v>50</v>
      </c>
      <c r="B14" s="151"/>
      <c r="C14" s="181"/>
      <c r="D14" s="167"/>
      <c r="E14" s="5">
        <f>Retefuente!F20</f>
        <v>44020</v>
      </c>
      <c r="F14" s="151">
        <f t="shared" si="1"/>
        <v>0</v>
      </c>
    </row>
    <row r="15" spans="1:6" ht="15.75">
      <c r="A15" s="158" t="s">
        <v>70</v>
      </c>
      <c r="B15" s="151"/>
      <c r="C15" s="58"/>
      <c r="D15" s="167"/>
      <c r="E15" s="5">
        <f>Retefuente!F22</f>
        <v>44083</v>
      </c>
      <c r="F15" s="151">
        <f t="shared" si="1"/>
        <v>0</v>
      </c>
    </row>
    <row r="16" spans="1:6" ht="15.75">
      <c r="A16" s="158" t="s">
        <v>47</v>
      </c>
      <c r="B16" s="151"/>
      <c r="C16" s="58"/>
      <c r="D16" s="167"/>
      <c r="E16" s="5">
        <f>Retefuente!F24</f>
        <v>44146</v>
      </c>
      <c r="F16" s="151">
        <f t="shared" si="1"/>
        <v>0</v>
      </c>
    </row>
    <row r="17" spans="1:7" ht="15.75">
      <c r="A17" s="158" t="s">
        <v>48</v>
      </c>
      <c r="B17" s="151"/>
      <c r="C17" s="58"/>
      <c r="D17" s="167"/>
      <c r="E17" s="5">
        <f>Retefuente!F26</f>
        <v>44210</v>
      </c>
      <c r="F17" s="151">
        <f t="shared" si="1"/>
        <v>0</v>
      </c>
    </row>
    <row r="18" spans="1:7" ht="15.75">
      <c r="A18" s="1"/>
      <c r="B18" s="1"/>
      <c r="C18" s="59"/>
      <c r="D18" s="2"/>
      <c r="E18" s="1"/>
      <c r="F18" s="1"/>
    </row>
    <row r="19" spans="1:7" ht="15.75">
      <c r="A19" s="179" t="s">
        <v>41</v>
      </c>
      <c r="B19" s="10"/>
      <c r="C19" s="147"/>
      <c r="D19" s="18"/>
      <c r="E19" s="10"/>
      <c r="F19" s="10"/>
    </row>
    <row r="20" spans="1:7" ht="47.25">
      <c r="A20" s="156" t="s">
        <v>71</v>
      </c>
      <c r="B20" s="156" t="s">
        <v>1</v>
      </c>
      <c r="C20" s="180" t="s">
        <v>2</v>
      </c>
      <c r="D20" s="155" t="s">
        <v>3</v>
      </c>
      <c r="E20" s="155" t="s">
        <v>7</v>
      </c>
      <c r="F20" s="155" t="s">
        <v>5</v>
      </c>
    </row>
    <row r="21" spans="1:7" ht="15.75">
      <c r="A21" s="158" t="s">
        <v>69</v>
      </c>
      <c r="B21" s="151"/>
      <c r="C21" s="181"/>
      <c r="D21" s="167"/>
      <c r="E21" s="167">
        <f>Retefuente!F31</f>
        <v>44274</v>
      </c>
      <c r="F21" s="151">
        <f t="shared" ref="F21:F26" si="2">IF(D21-E21&gt;0,D21-E21,0)</f>
        <v>0</v>
      </c>
    </row>
    <row r="22" spans="1:7" ht="15.75">
      <c r="A22" s="158" t="s">
        <v>49</v>
      </c>
      <c r="B22" s="151"/>
      <c r="C22" s="181"/>
      <c r="D22" s="167"/>
      <c r="E22" s="167">
        <f>Retefuente!F33</f>
        <v>44337</v>
      </c>
      <c r="F22" s="151">
        <f t="shared" si="2"/>
        <v>0</v>
      </c>
    </row>
    <row r="23" spans="1:7" ht="15.75">
      <c r="A23" s="158" t="s">
        <v>50</v>
      </c>
      <c r="B23" s="151"/>
      <c r="C23" s="58"/>
      <c r="D23" s="167"/>
      <c r="E23" s="5">
        <f>Retefuente!F35</f>
        <v>44398</v>
      </c>
      <c r="F23" s="151">
        <f t="shared" si="2"/>
        <v>0</v>
      </c>
    </row>
    <row r="24" spans="1:7" ht="15.75">
      <c r="A24" s="158" t="s">
        <v>70</v>
      </c>
      <c r="B24" s="151"/>
      <c r="C24" s="58"/>
      <c r="D24" s="167"/>
      <c r="E24" s="5">
        <f>Retefuente!F37</f>
        <v>44459</v>
      </c>
      <c r="F24" s="151">
        <f t="shared" si="2"/>
        <v>0</v>
      </c>
    </row>
    <row r="25" spans="1:7" ht="15.75">
      <c r="A25" s="158" t="s">
        <v>47</v>
      </c>
      <c r="B25" s="151"/>
      <c r="C25" s="58"/>
      <c r="D25" s="167"/>
      <c r="E25" s="5">
        <f>Retefuente!F39</f>
        <v>44522</v>
      </c>
      <c r="F25" s="151">
        <f t="shared" si="2"/>
        <v>0</v>
      </c>
    </row>
    <row r="26" spans="1:7" ht="15.75">
      <c r="A26" s="158" t="s">
        <v>48</v>
      </c>
      <c r="B26" s="151"/>
      <c r="C26" s="58"/>
      <c r="D26" s="167"/>
      <c r="E26" s="5">
        <f>Retefuente!F41</f>
        <v>44585</v>
      </c>
      <c r="F26" s="151">
        <f t="shared" si="2"/>
        <v>0</v>
      </c>
    </row>
    <row r="27" spans="1:7" ht="15.75">
      <c r="A27" s="1"/>
      <c r="B27" s="1"/>
      <c r="C27" s="59"/>
      <c r="D27" s="2"/>
      <c r="E27" s="1"/>
      <c r="F27" s="1"/>
    </row>
    <row r="28" spans="1:7" ht="15.75">
      <c r="A28" s="179" t="s">
        <v>42</v>
      </c>
      <c r="B28" s="10"/>
      <c r="C28" s="147"/>
      <c r="D28" s="18"/>
      <c r="E28" s="10"/>
      <c r="F28" s="10"/>
    </row>
    <row r="29" spans="1:7" ht="47.25">
      <c r="A29" s="156" t="s">
        <v>71</v>
      </c>
      <c r="B29" s="156" t="s">
        <v>1</v>
      </c>
      <c r="C29" s="180" t="s">
        <v>2</v>
      </c>
      <c r="D29" s="155" t="s">
        <v>3</v>
      </c>
      <c r="E29" s="155" t="s">
        <v>7</v>
      </c>
      <c r="F29" s="155" t="s">
        <v>5</v>
      </c>
      <c r="G29" s="237" t="s">
        <v>358</v>
      </c>
    </row>
    <row r="30" spans="1:7" ht="15.75">
      <c r="A30" s="158" t="s">
        <v>69</v>
      </c>
      <c r="B30" s="151"/>
      <c r="C30" s="58"/>
      <c r="D30" s="167"/>
      <c r="E30" s="167">
        <f>Retefuente!F46</f>
        <v>44638</v>
      </c>
      <c r="F30" s="151">
        <f t="shared" ref="F30:F35" si="3">IF(D30-E30&gt;0,D30-E30,0)</f>
        <v>0</v>
      </c>
      <c r="G30">
        <v>70987000</v>
      </c>
    </row>
    <row r="31" spans="1:7" ht="15.75">
      <c r="A31" s="158" t="s">
        <v>49</v>
      </c>
      <c r="B31" s="151"/>
      <c r="C31" s="58"/>
      <c r="D31" s="167"/>
      <c r="E31" s="167">
        <f>Retefuente!F48</f>
        <v>44701</v>
      </c>
      <c r="F31" s="151">
        <f t="shared" si="3"/>
        <v>0</v>
      </c>
      <c r="G31">
        <v>114819000</v>
      </c>
    </row>
    <row r="32" spans="1:7" ht="15.75">
      <c r="A32" s="158" t="s">
        <v>50</v>
      </c>
      <c r="B32" s="151"/>
      <c r="C32" s="58"/>
      <c r="D32" s="167"/>
      <c r="E32" s="167">
        <f>Retefuente!F50</f>
        <v>44763</v>
      </c>
      <c r="F32" s="151">
        <f t="shared" si="3"/>
        <v>0</v>
      </c>
      <c r="G32">
        <v>111167000</v>
      </c>
    </row>
    <row r="33" spans="1:7" ht="15.75">
      <c r="A33" s="158" t="s">
        <v>70</v>
      </c>
      <c r="B33" s="151"/>
      <c r="C33" s="58"/>
      <c r="D33" s="167"/>
      <c r="E33" s="167">
        <f>Retefuente!F52</f>
        <v>44823</v>
      </c>
      <c r="F33" s="151">
        <f t="shared" si="3"/>
        <v>0</v>
      </c>
      <c r="G33">
        <v>105227000</v>
      </c>
    </row>
    <row r="34" spans="1:7" ht="15.75">
      <c r="A34" s="158" t="s">
        <v>47</v>
      </c>
      <c r="B34" s="151"/>
      <c r="C34" s="58"/>
      <c r="D34" s="167"/>
      <c r="E34" s="167">
        <f>Retefuente!F54</f>
        <v>44887</v>
      </c>
      <c r="F34" s="151">
        <f t="shared" si="3"/>
        <v>0</v>
      </c>
      <c r="G34">
        <v>109419000</v>
      </c>
    </row>
    <row r="35" spans="1:7" ht="15.75">
      <c r="A35" s="158" t="s">
        <v>48</v>
      </c>
      <c r="B35" s="151"/>
      <c r="C35" s="58"/>
      <c r="D35" s="5"/>
      <c r="E35" s="5">
        <f>Retefuente!F56</f>
        <v>44949</v>
      </c>
      <c r="F35" s="151">
        <f t="shared" si="3"/>
        <v>0</v>
      </c>
      <c r="G35">
        <v>246413000</v>
      </c>
    </row>
    <row r="36" spans="1:7" ht="15.75">
      <c r="A36" s="1"/>
      <c r="B36" s="1"/>
      <c r="C36" s="59"/>
      <c r="D36" s="2"/>
      <c r="E36" s="1"/>
      <c r="F36" s="1"/>
    </row>
    <row r="37" spans="1:7" ht="15.75">
      <c r="A37" s="179" t="s">
        <v>65</v>
      </c>
      <c r="B37" s="10"/>
      <c r="C37" s="147"/>
      <c r="D37" s="18"/>
      <c r="E37" s="10"/>
      <c r="F37" s="10"/>
    </row>
    <row r="38" spans="1:7" ht="47.25">
      <c r="A38" s="156" t="s">
        <v>71</v>
      </c>
      <c r="B38" s="156" t="s">
        <v>1</v>
      </c>
      <c r="C38" s="180" t="s">
        <v>2</v>
      </c>
      <c r="D38" s="155" t="s">
        <v>3</v>
      </c>
      <c r="E38" s="155" t="s">
        <v>7</v>
      </c>
      <c r="F38" s="155" t="s">
        <v>5</v>
      </c>
    </row>
    <row r="39" spans="1:7" ht="15.75">
      <c r="A39" s="158" t="s">
        <v>69</v>
      </c>
      <c r="B39" s="151"/>
      <c r="C39" s="58"/>
      <c r="D39" s="167"/>
      <c r="E39" s="167">
        <f>Retefuente!F61</f>
        <v>45002</v>
      </c>
      <c r="F39" s="151">
        <f t="shared" ref="F39:F44" si="4">IF(D39-E39&gt;0,D39-E39,0)</f>
        <v>0</v>
      </c>
      <c r="G39">
        <v>74648000</v>
      </c>
    </row>
    <row r="40" spans="1:7" ht="15.75">
      <c r="A40" s="158" t="s">
        <v>49</v>
      </c>
      <c r="B40" s="151"/>
      <c r="C40" s="58"/>
      <c r="D40" s="167"/>
      <c r="E40" s="167">
        <f>Retefuente!F63</f>
        <v>45065</v>
      </c>
      <c r="F40" s="151">
        <f t="shared" si="4"/>
        <v>0</v>
      </c>
      <c r="G40">
        <v>95414000</v>
      </c>
    </row>
    <row r="41" spans="1:7" ht="15.75">
      <c r="A41" s="158" t="s">
        <v>50</v>
      </c>
      <c r="B41" s="151"/>
      <c r="C41" s="58"/>
      <c r="D41" s="5"/>
      <c r="E41" s="5">
        <f>Retefuente!F65</f>
        <v>45126</v>
      </c>
      <c r="F41" s="151">
        <f t="shared" si="4"/>
        <v>0</v>
      </c>
      <c r="G41">
        <v>90544000</v>
      </c>
    </row>
    <row r="42" spans="1:7" ht="15.75">
      <c r="A42" s="158" t="s">
        <v>70</v>
      </c>
      <c r="B42" s="151"/>
      <c r="C42" s="58"/>
      <c r="D42" s="5"/>
      <c r="E42" s="5">
        <f>Retefuente!F67</f>
        <v>45188</v>
      </c>
      <c r="F42" s="151">
        <f t="shared" si="4"/>
        <v>0</v>
      </c>
      <c r="G42">
        <v>90399000</v>
      </c>
    </row>
    <row r="43" spans="1:7" ht="15.75">
      <c r="A43" s="158" t="s">
        <v>47</v>
      </c>
      <c r="B43" s="151"/>
      <c r="C43" s="58"/>
      <c r="D43" s="5"/>
      <c r="E43" s="5">
        <f>Retefuente!F69</f>
        <v>45251</v>
      </c>
      <c r="F43" s="151">
        <f t="shared" si="4"/>
        <v>0</v>
      </c>
      <c r="G43">
        <v>111340000</v>
      </c>
    </row>
    <row r="44" spans="1:7" ht="15.75">
      <c r="A44" s="158" t="s">
        <v>48</v>
      </c>
      <c r="B44" s="151"/>
      <c r="C44" s="58"/>
      <c r="D44" s="5"/>
      <c r="E44" s="5">
        <f>Retefuente!F71</f>
        <v>45313</v>
      </c>
      <c r="F44" s="151">
        <f t="shared" si="4"/>
        <v>0</v>
      </c>
      <c r="G44">
        <v>151485000</v>
      </c>
    </row>
    <row r="46" spans="1:7" ht="15.75">
      <c r="A46" s="179" t="s">
        <v>67</v>
      </c>
      <c r="B46" s="10"/>
      <c r="C46" s="147"/>
      <c r="D46" s="18"/>
      <c r="E46" s="10"/>
      <c r="F46" s="10"/>
    </row>
    <row r="47" spans="1:7" ht="47.25">
      <c r="A47" s="156" t="s">
        <v>71</v>
      </c>
      <c r="B47" s="156" t="s">
        <v>1</v>
      </c>
      <c r="C47" s="180" t="s">
        <v>2</v>
      </c>
      <c r="D47" s="155" t="s">
        <v>3</v>
      </c>
      <c r="E47" s="155" t="s">
        <v>7</v>
      </c>
      <c r="F47" s="155" t="s">
        <v>5</v>
      </c>
    </row>
    <row r="48" spans="1:7" ht="15.75">
      <c r="A48" s="158" t="s">
        <v>69</v>
      </c>
      <c r="B48" s="151"/>
      <c r="C48" s="58"/>
      <c r="D48" s="167"/>
      <c r="E48" s="167">
        <f>Retefuente!F76</f>
        <v>45372</v>
      </c>
      <c r="F48" s="151">
        <f t="shared" ref="F48:F53" si="5">IF(D48-E48&gt;0,D48-E48,0)</f>
        <v>0</v>
      </c>
    </row>
    <row r="49" spans="1:6" ht="15.75">
      <c r="A49" s="158" t="s">
        <v>49</v>
      </c>
      <c r="B49" s="151"/>
      <c r="C49" s="58"/>
      <c r="D49" s="167"/>
      <c r="E49" s="167">
        <f>Retefuente!F78</f>
        <v>45435</v>
      </c>
      <c r="F49" s="151">
        <f t="shared" si="5"/>
        <v>0</v>
      </c>
    </row>
    <row r="50" spans="1:6" ht="15.75">
      <c r="A50" s="158" t="s">
        <v>50</v>
      </c>
      <c r="B50" s="151"/>
      <c r="C50" s="58"/>
      <c r="D50" s="5"/>
      <c r="E50" s="5">
        <f>Retefuente!F80</f>
        <v>45495</v>
      </c>
      <c r="F50" s="151">
        <f t="shared" si="5"/>
        <v>0</v>
      </c>
    </row>
    <row r="51" spans="1:6" ht="15.75">
      <c r="A51" s="158" t="s">
        <v>70</v>
      </c>
      <c r="B51" s="151"/>
      <c r="C51" s="58"/>
      <c r="D51" s="5"/>
      <c r="E51" s="5">
        <f>Retefuente!F82</f>
        <v>45555</v>
      </c>
      <c r="F51" s="151">
        <f t="shared" si="5"/>
        <v>0</v>
      </c>
    </row>
    <row r="52" spans="1:6" ht="15.75">
      <c r="A52" s="158" t="s">
        <v>47</v>
      </c>
      <c r="B52" s="151"/>
      <c r="C52" s="58"/>
      <c r="D52" s="5"/>
      <c r="E52" s="5">
        <f>Retefuente!F84</f>
        <v>45621</v>
      </c>
      <c r="F52" s="151">
        <f t="shared" si="5"/>
        <v>0</v>
      </c>
    </row>
    <row r="53" spans="1:6" ht="15.75">
      <c r="A53" s="158" t="s">
        <v>48</v>
      </c>
      <c r="B53" s="151"/>
      <c r="C53" s="58"/>
      <c r="D53" s="5"/>
      <c r="E53" s="5">
        <f>Retefuente!F86</f>
        <v>45680</v>
      </c>
      <c r="F53" s="151">
        <f t="shared" si="5"/>
        <v>0</v>
      </c>
    </row>
    <row r="55" spans="1:6" ht="15.75">
      <c r="A55" s="179" t="s">
        <v>306</v>
      </c>
      <c r="B55" s="10"/>
      <c r="C55" s="147"/>
      <c r="D55" s="18"/>
      <c r="E55" s="10"/>
      <c r="F55" s="10"/>
    </row>
    <row r="56" spans="1:6" ht="47.25">
      <c r="A56" s="156" t="s">
        <v>71</v>
      </c>
      <c r="B56" s="156" t="s">
        <v>1</v>
      </c>
      <c r="C56" s="180" t="s">
        <v>2</v>
      </c>
      <c r="D56" s="155" t="s">
        <v>3</v>
      </c>
      <c r="E56" s="155" t="s">
        <v>7</v>
      </c>
      <c r="F56" s="155" t="s">
        <v>5</v>
      </c>
    </row>
    <row r="57" spans="1:6" ht="15.75">
      <c r="A57" s="158" t="s">
        <v>69</v>
      </c>
      <c r="B57" s="151"/>
      <c r="C57" s="58"/>
      <c r="D57" s="167"/>
      <c r="E57" s="167">
        <f>Retefuente!F91</f>
        <v>45737</v>
      </c>
      <c r="F57" s="151">
        <f t="shared" ref="F57:F62" si="6">IF(D57-E57&gt;0,D57-E57,0)</f>
        <v>0</v>
      </c>
    </row>
    <row r="58" spans="1:6" ht="15.75">
      <c r="A58" s="158" t="s">
        <v>49</v>
      </c>
      <c r="B58" s="151"/>
      <c r="C58" s="58"/>
      <c r="D58" s="167"/>
      <c r="E58" s="167">
        <f>Retefuente!F93</f>
        <v>45799</v>
      </c>
      <c r="F58" s="151">
        <f t="shared" si="6"/>
        <v>0</v>
      </c>
    </row>
    <row r="59" spans="1:6" ht="15.75">
      <c r="A59" s="158" t="s">
        <v>50</v>
      </c>
      <c r="B59" s="151"/>
      <c r="C59" s="58"/>
      <c r="D59" s="5"/>
      <c r="E59" s="167">
        <f>Retefuente!F95</f>
        <v>45859</v>
      </c>
      <c r="F59" s="151">
        <f t="shared" si="6"/>
        <v>0</v>
      </c>
    </row>
    <row r="60" spans="1:6" ht="15.75">
      <c r="A60" s="158" t="s">
        <v>70</v>
      </c>
      <c r="B60" s="151"/>
      <c r="C60" s="58"/>
      <c r="D60" s="5"/>
      <c r="E60" s="167">
        <f>Retefuente!F97</f>
        <v>45919</v>
      </c>
      <c r="F60" s="151">
        <f t="shared" si="6"/>
        <v>0</v>
      </c>
    </row>
    <row r="61" spans="1:6" ht="15.75">
      <c r="A61" s="158" t="s">
        <v>47</v>
      </c>
      <c r="B61" s="151"/>
      <c r="C61" s="58"/>
      <c r="D61" s="5"/>
      <c r="E61" s="167">
        <f>Retefuente!F99</f>
        <v>45986</v>
      </c>
      <c r="F61" s="151">
        <f t="shared" si="6"/>
        <v>0</v>
      </c>
    </row>
    <row r="62" spans="1:6" ht="15.75">
      <c r="A62" s="158" t="s">
        <v>48</v>
      </c>
      <c r="B62" s="151"/>
      <c r="C62" s="58"/>
      <c r="D62" s="5"/>
      <c r="E62" s="167">
        <f>Retefuente!F101</f>
        <v>46045</v>
      </c>
      <c r="F62" s="151">
        <f t="shared" si="6"/>
        <v>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8"/>
  <dimension ref="A1:M44"/>
  <sheetViews>
    <sheetView zoomScaleNormal="100" workbookViewId="0">
      <selection activeCell="B1" sqref="B1"/>
    </sheetView>
  </sheetViews>
  <sheetFormatPr baseColWidth="10" defaultColWidth="11.42578125" defaultRowHeight="15.75"/>
  <cols>
    <col min="1" max="1" width="22.42578125" style="1" bestFit="1" customWidth="1"/>
    <col min="2" max="2" width="18.5703125" style="1" customWidth="1"/>
    <col min="3" max="3" width="17.42578125" style="59" bestFit="1" customWidth="1"/>
    <col min="4" max="4" width="16" style="2" bestFit="1" customWidth="1"/>
    <col min="5" max="5" width="16.5703125" style="1" bestFit="1" customWidth="1"/>
    <col min="6" max="6" width="14.5703125" style="1" bestFit="1" customWidth="1"/>
    <col min="7" max="7" width="11.42578125" style="1"/>
    <col min="8" max="8" width="14.28515625" style="1" bestFit="1" customWidth="1"/>
    <col min="9" max="9" width="14.140625" style="1" customWidth="1"/>
    <col min="10" max="11" width="14.28515625" style="1" bestFit="1" customWidth="1"/>
    <col min="12" max="12" width="18.7109375" style="1" customWidth="1"/>
    <col min="13" max="13" width="12.7109375" style="1" bestFit="1" customWidth="1"/>
    <col min="14" max="16384" width="11.42578125" style="1"/>
  </cols>
  <sheetData>
    <row r="1" spans="1:10">
      <c r="A1" s="10"/>
      <c r="B1" s="10"/>
      <c r="C1" s="147"/>
      <c r="D1" s="18"/>
      <c r="E1" s="10"/>
      <c r="F1" s="10"/>
    </row>
    <row r="2" spans="1:10">
      <c r="A2" s="179" t="s">
        <v>32</v>
      </c>
      <c r="B2" s="10"/>
      <c r="C2" s="147"/>
      <c r="D2" s="18"/>
      <c r="E2" s="10"/>
      <c r="F2" s="10"/>
    </row>
    <row r="3" spans="1:10" ht="47.25">
      <c r="A3" s="156" t="s">
        <v>6</v>
      </c>
      <c r="B3" s="156" t="s">
        <v>1</v>
      </c>
      <c r="C3" s="180" t="s">
        <v>2</v>
      </c>
      <c r="D3" s="155" t="s">
        <v>3</v>
      </c>
      <c r="E3" s="155" t="s">
        <v>7</v>
      </c>
      <c r="F3" s="155" t="s">
        <v>5</v>
      </c>
    </row>
    <row r="4" spans="1:10" ht="16.5" thickBot="1">
      <c r="A4" s="158" t="s">
        <v>26</v>
      </c>
      <c r="B4" s="151"/>
      <c r="C4" s="181"/>
      <c r="D4" s="167"/>
      <c r="E4" s="63">
        <f>Retefuente!F3</f>
        <v>0</v>
      </c>
      <c r="F4" s="151">
        <f>IF(D4-E4&gt;0,D4-E4,0)</f>
        <v>0</v>
      </c>
    </row>
    <row r="5" spans="1:10" ht="16.5" thickBot="1">
      <c r="A5" s="158" t="s">
        <v>27</v>
      </c>
      <c r="B5" s="151"/>
      <c r="C5" s="181"/>
      <c r="D5" s="167"/>
      <c r="E5" s="63">
        <f>Retefuente!F7</f>
        <v>43719</v>
      </c>
      <c r="F5" s="151">
        <f t="shared" ref="F5:F6" si="0">IF(D5-E5&gt;0,D5-E5,0)</f>
        <v>0</v>
      </c>
    </row>
    <row r="6" spans="1:10" ht="16.5" thickBot="1">
      <c r="A6" s="158" t="s">
        <v>28</v>
      </c>
      <c r="B6" s="151"/>
      <c r="C6" s="58"/>
      <c r="D6" s="167"/>
      <c r="E6" s="63">
        <f>Retefuente!F11</f>
        <v>43843</v>
      </c>
      <c r="F6" s="151">
        <f t="shared" si="0"/>
        <v>0</v>
      </c>
    </row>
    <row r="8" spans="1:10">
      <c r="A8" s="179" t="s">
        <v>40</v>
      </c>
      <c r="B8" s="10" t="s">
        <v>75</v>
      </c>
      <c r="C8" s="147"/>
      <c r="D8" s="18"/>
      <c r="E8" s="10"/>
      <c r="F8" s="10"/>
    </row>
    <row r="9" spans="1:10" ht="47.25">
      <c r="A9" s="156" t="s">
        <v>6</v>
      </c>
      <c r="B9" s="156" t="s">
        <v>1</v>
      </c>
      <c r="C9" s="180" t="s">
        <v>2</v>
      </c>
      <c r="D9" s="155" t="s">
        <v>3</v>
      </c>
      <c r="E9" s="155" t="s">
        <v>7</v>
      </c>
      <c r="F9" s="155" t="s">
        <v>5</v>
      </c>
    </row>
    <row r="10" spans="1:10" ht="16.5" thickBot="1">
      <c r="A10" s="158" t="s">
        <v>26</v>
      </c>
      <c r="B10" s="151"/>
      <c r="C10" s="181"/>
      <c r="D10" s="167"/>
      <c r="E10" s="64">
        <f>Retefuente!F18</f>
        <v>43964</v>
      </c>
      <c r="F10" s="151">
        <f>IF(D10-E10&gt;0,D10-E10,0)</f>
        <v>0</v>
      </c>
    </row>
    <row r="11" spans="1:10" ht="17.25" thickBot="1">
      <c r="A11" s="158" t="s">
        <v>27</v>
      </c>
      <c r="B11" s="151"/>
      <c r="C11" s="181"/>
      <c r="D11" s="167"/>
      <c r="E11" s="64">
        <f>Retefuente!F22</f>
        <v>44083</v>
      </c>
      <c r="F11" s="151">
        <f t="shared" ref="F11:F12" si="1">IF(D11-E11&gt;0,D11-E11,0)</f>
        <v>0</v>
      </c>
      <c r="H11" s="182"/>
    </row>
    <row r="12" spans="1:10" ht="16.5" thickBot="1">
      <c r="A12" s="158" t="s">
        <v>28</v>
      </c>
      <c r="B12" s="151"/>
      <c r="C12" s="58"/>
      <c r="D12" s="167"/>
      <c r="E12" s="64">
        <f>Retefuente!F26</f>
        <v>44210</v>
      </c>
      <c r="F12" s="151">
        <f t="shared" si="1"/>
        <v>0</v>
      </c>
    </row>
    <row r="13" spans="1:10">
      <c r="A13" s="10"/>
      <c r="B13" s="154"/>
      <c r="C13" s="183"/>
      <c r="D13" s="6"/>
      <c r="E13" s="6"/>
      <c r="F13" s="154"/>
    </row>
    <row r="15" spans="1:10">
      <c r="A15" s="179" t="s">
        <v>41</v>
      </c>
      <c r="B15" s="10"/>
      <c r="C15" s="147"/>
      <c r="D15" s="18"/>
      <c r="E15" s="10"/>
      <c r="F15" s="10"/>
    </row>
    <row r="16" spans="1:10" ht="47.25">
      <c r="A16" s="156" t="s">
        <v>6</v>
      </c>
      <c r="B16" s="156" t="s">
        <v>1</v>
      </c>
      <c r="C16" s="180" t="s">
        <v>2</v>
      </c>
      <c r="D16" s="155" t="s">
        <v>3</v>
      </c>
      <c r="E16" s="155" t="s">
        <v>7</v>
      </c>
      <c r="F16" s="155" t="s">
        <v>5</v>
      </c>
      <c r="I16" s="1" t="s">
        <v>359</v>
      </c>
      <c r="J16" s="1" t="s">
        <v>360</v>
      </c>
    </row>
    <row r="17" spans="1:11" ht="16.5" thickBot="1">
      <c r="A17" s="158" t="s">
        <v>26</v>
      </c>
      <c r="B17" s="151"/>
      <c r="C17" s="181"/>
      <c r="D17" s="167"/>
      <c r="E17" s="64">
        <f>Retefuente!F33</f>
        <v>44337</v>
      </c>
      <c r="F17" s="151">
        <f t="shared" ref="F17:F19" si="2">IF(D17-E17&gt;0,D17-E17,0)</f>
        <v>0</v>
      </c>
      <c r="G17" s="1">
        <v>182679000</v>
      </c>
    </row>
    <row r="18" spans="1:11" ht="16.5" thickBot="1">
      <c r="A18" s="158" t="s">
        <v>27</v>
      </c>
      <c r="B18" s="151"/>
      <c r="C18" s="58"/>
      <c r="D18" s="167"/>
      <c r="E18" s="64">
        <f>Retefuente!F37</f>
        <v>44459</v>
      </c>
      <c r="F18" s="151">
        <f t="shared" si="2"/>
        <v>0</v>
      </c>
      <c r="G18" s="1">
        <v>180773000</v>
      </c>
    </row>
    <row r="19" spans="1:11" ht="16.5" thickBot="1">
      <c r="A19" s="158" t="s">
        <v>28</v>
      </c>
      <c r="B19" s="151"/>
      <c r="C19" s="58"/>
      <c r="D19" s="5"/>
      <c r="E19" s="64">
        <f>Retefuente!F41</f>
        <v>44585</v>
      </c>
      <c r="F19" s="151">
        <f t="shared" si="2"/>
        <v>0</v>
      </c>
      <c r="G19" s="1">
        <v>259066000</v>
      </c>
      <c r="I19" s="1">
        <v>668410264</v>
      </c>
      <c r="J19" s="1">
        <v>9173200</v>
      </c>
      <c r="K19" s="1">
        <f>I19-J19</f>
        <v>659237064</v>
      </c>
    </row>
    <row r="20" spans="1:11">
      <c r="I20" s="1">
        <v>305326012</v>
      </c>
      <c r="J20" s="1">
        <v>12464000</v>
      </c>
      <c r="K20" s="1">
        <f>I20-J20</f>
        <v>292862012</v>
      </c>
    </row>
    <row r="21" spans="1:11">
      <c r="A21" s="179" t="s">
        <v>42</v>
      </c>
      <c r="B21" s="10"/>
      <c r="C21" s="147"/>
      <c r="D21" s="18"/>
      <c r="E21" s="10"/>
      <c r="F21" s="10"/>
      <c r="I21" s="1">
        <v>209267803</v>
      </c>
      <c r="J21" s="1">
        <v>9918000</v>
      </c>
      <c r="K21" s="1">
        <f>I21-J21</f>
        <v>199349803</v>
      </c>
    </row>
    <row r="22" spans="1:11" ht="47.25">
      <c r="A22" s="156" t="s">
        <v>6</v>
      </c>
      <c r="B22" s="156" t="s">
        <v>1</v>
      </c>
      <c r="C22" s="180" t="s">
        <v>2</v>
      </c>
      <c r="D22" s="155" t="s">
        <v>3</v>
      </c>
      <c r="E22" s="155" t="s">
        <v>7</v>
      </c>
      <c r="F22" s="155" t="s">
        <v>5</v>
      </c>
      <c r="I22" s="1">
        <v>222867861</v>
      </c>
      <c r="J22" s="1">
        <v>10898400</v>
      </c>
      <c r="K22" s="1">
        <f>I22-J22</f>
        <v>211969461</v>
      </c>
    </row>
    <row r="23" spans="1:11" ht="16.5" thickBot="1">
      <c r="A23" s="158" t="s">
        <v>26</v>
      </c>
      <c r="B23" s="151"/>
      <c r="C23" s="58"/>
      <c r="D23" s="5"/>
      <c r="E23" s="64">
        <f>Retefuente!F48</f>
        <v>44701</v>
      </c>
      <c r="F23" s="151">
        <f>IF(D23-E23&gt;0,D29-E23,0)</f>
        <v>0</v>
      </c>
      <c r="K23" s="1">
        <f>K19+K20+K21+K22</f>
        <v>1363418340</v>
      </c>
    </row>
    <row r="24" spans="1:11" ht="16.5" thickBot="1">
      <c r="A24" s="158" t="s">
        <v>27</v>
      </c>
      <c r="B24" s="151"/>
      <c r="C24" s="58"/>
      <c r="D24" s="167"/>
      <c r="E24" s="63">
        <f>Retefuente!F52</f>
        <v>44823</v>
      </c>
      <c r="F24" s="151">
        <f>IF(D24-E24&gt;0,D24-E24,0)</f>
        <v>0</v>
      </c>
      <c r="K24" s="1">
        <f>K23*0.19</f>
        <v>259049484.59999999</v>
      </c>
    </row>
    <row r="25" spans="1:11" ht="16.5" thickBot="1">
      <c r="A25" s="158" t="s">
        <v>28</v>
      </c>
      <c r="B25" s="223"/>
      <c r="C25" s="224"/>
      <c r="D25" s="222"/>
      <c r="E25" s="64">
        <f>Retefuente!F56</f>
        <v>44949</v>
      </c>
      <c r="F25" s="151">
        <f t="shared" ref="F25" si="3">IF(D25-E25&gt;0,D25-E25,0)</f>
        <v>0</v>
      </c>
    </row>
    <row r="27" spans="1:11">
      <c r="A27" s="179" t="s">
        <v>65</v>
      </c>
      <c r="B27" s="10"/>
      <c r="C27" s="147"/>
      <c r="D27" s="18"/>
      <c r="E27" s="10"/>
      <c r="F27" s="10"/>
    </row>
    <row r="28" spans="1:11" ht="47.25">
      <c r="A28" s="156" t="s">
        <v>6</v>
      </c>
      <c r="B28" s="156" t="s">
        <v>1</v>
      </c>
      <c r="C28" s="180" t="s">
        <v>2</v>
      </c>
      <c r="D28" s="155" t="s">
        <v>3</v>
      </c>
      <c r="E28" s="155" t="s">
        <v>7</v>
      </c>
      <c r="F28" s="155" t="s">
        <v>5</v>
      </c>
    </row>
    <row r="29" spans="1:11" ht="16.5" thickBot="1">
      <c r="A29" s="158" t="s">
        <v>26</v>
      </c>
      <c r="B29" s="223"/>
      <c r="C29" s="58"/>
      <c r="D29" s="167"/>
      <c r="E29" s="65">
        <f>Retefuente!F63</f>
        <v>45065</v>
      </c>
      <c r="F29" s="151">
        <f>IF(D29-E29&gt;0,D29-E29,0)</f>
        <v>0</v>
      </c>
      <c r="I29" s="184"/>
      <c r="J29" s="184"/>
    </row>
    <row r="30" spans="1:11" ht="16.5" thickBot="1">
      <c r="A30" s="158" t="s">
        <v>27</v>
      </c>
      <c r="B30" s="223"/>
      <c r="C30" s="226"/>
      <c r="D30" s="227"/>
      <c r="E30" s="65">
        <f>Retefuente!F67</f>
        <v>45188</v>
      </c>
      <c r="F30" s="151">
        <f t="shared" ref="F30" si="4">IF(D30-E30&gt;0,D30-E30,0)</f>
        <v>0</v>
      </c>
      <c r="I30" s="184"/>
    </row>
    <row r="31" spans="1:11" ht="16.5" thickBot="1">
      <c r="A31" s="158" t="s">
        <v>28</v>
      </c>
      <c r="B31" s="223"/>
      <c r="C31" s="224"/>
      <c r="D31" s="222"/>
      <c r="E31" s="65">
        <f>Retefuente!F71</f>
        <v>45313</v>
      </c>
      <c r="F31" s="151">
        <f>IF(D31-E31&gt;0,D31-E31,0)</f>
        <v>0</v>
      </c>
    </row>
    <row r="33" spans="1:13">
      <c r="A33" s="179" t="s">
        <v>67</v>
      </c>
      <c r="B33" s="10"/>
      <c r="C33" s="147"/>
      <c r="D33" s="18"/>
      <c r="E33" s="10"/>
      <c r="F33" s="10"/>
    </row>
    <row r="34" spans="1:13" ht="47.25">
      <c r="A34" s="156" t="s">
        <v>6</v>
      </c>
      <c r="B34" s="156" t="s">
        <v>1</v>
      </c>
      <c r="C34" s="180" t="s">
        <v>2</v>
      </c>
      <c r="D34" s="155" t="s">
        <v>3</v>
      </c>
      <c r="E34" s="155" t="s">
        <v>7</v>
      </c>
      <c r="F34" s="155" t="s">
        <v>5</v>
      </c>
    </row>
    <row r="35" spans="1:13">
      <c r="A35" s="158" t="s">
        <v>26</v>
      </c>
      <c r="B35" s="223"/>
      <c r="C35" s="225"/>
      <c r="D35" s="222"/>
      <c r="E35" s="185">
        <f>Retefuente!F78</f>
        <v>45435</v>
      </c>
      <c r="F35" s="151">
        <f t="shared" ref="F35:F37" si="5">IF(D35-E35&gt;0,D35-E35,0)</f>
        <v>0</v>
      </c>
    </row>
    <row r="36" spans="1:13">
      <c r="A36" s="158" t="s">
        <v>27</v>
      </c>
      <c r="B36" s="223"/>
      <c r="C36" s="226"/>
      <c r="D36" s="227"/>
      <c r="E36" s="167">
        <f>Retefuente!F82</f>
        <v>45555</v>
      </c>
      <c r="F36" s="151">
        <f>IF(D36-E36&gt;0,D36-E36,0)</f>
        <v>0</v>
      </c>
    </row>
    <row r="37" spans="1:13">
      <c r="A37" s="158" t="s">
        <v>28</v>
      </c>
      <c r="B37" s="223"/>
      <c r="C37" s="224"/>
      <c r="D37" s="222"/>
      <c r="E37" s="5">
        <f>Retefuente!F86</f>
        <v>45680</v>
      </c>
      <c r="F37" s="151">
        <f t="shared" si="5"/>
        <v>0</v>
      </c>
    </row>
    <row r="39" spans="1:13">
      <c r="A39" s="179" t="s">
        <v>306</v>
      </c>
      <c r="B39" s="10"/>
      <c r="C39" s="147"/>
      <c r="D39" s="18"/>
      <c r="E39" s="10"/>
      <c r="F39" s="10"/>
    </row>
    <row r="40" spans="1:13" ht="47.25">
      <c r="A40" s="156" t="s">
        <v>6</v>
      </c>
      <c r="B40" s="156" t="s">
        <v>1</v>
      </c>
      <c r="C40" s="180" t="s">
        <v>2</v>
      </c>
      <c r="D40" s="155" t="s">
        <v>3</v>
      </c>
      <c r="E40" s="155" t="s">
        <v>7</v>
      </c>
      <c r="F40" s="155" t="s">
        <v>5</v>
      </c>
    </row>
    <row r="41" spans="1:13">
      <c r="A41" s="158" t="s">
        <v>26</v>
      </c>
      <c r="B41" s="223"/>
      <c r="C41" s="225"/>
      <c r="D41" s="222"/>
      <c r="E41" s="185">
        <f>Retefuente!F93</f>
        <v>45799</v>
      </c>
      <c r="F41" s="151">
        <f>IF(D41-E41&gt;0,D41-E41,0)</f>
        <v>0</v>
      </c>
    </row>
    <row r="42" spans="1:13">
      <c r="A42" s="158" t="s">
        <v>27</v>
      </c>
      <c r="B42" s="223"/>
      <c r="C42" s="225"/>
      <c r="D42" s="222"/>
      <c r="E42" s="167">
        <f>Retefuente!F97</f>
        <v>45919</v>
      </c>
      <c r="F42" s="151">
        <f>IF(D42-E42&gt;0,D42-E42,0)</f>
        <v>0</v>
      </c>
      <c r="H42" s="15"/>
      <c r="I42" s="15"/>
      <c r="J42" s="15"/>
      <c r="K42" s="15"/>
      <c r="L42" s="232"/>
      <c r="M42" s="127"/>
    </row>
    <row r="43" spans="1:13">
      <c r="A43" s="158" t="s">
        <v>28</v>
      </c>
      <c r="B43" s="151"/>
      <c r="C43" s="58"/>
      <c r="D43" s="5"/>
      <c r="E43" s="5">
        <f>Retefuente!F101</f>
        <v>46045</v>
      </c>
      <c r="F43" s="151">
        <f t="shared" ref="F43" si="6">IF(D43-E43&gt;0,D43-E43,0)</f>
        <v>0</v>
      </c>
      <c r="H43" s="15"/>
      <c r="I43" s="15"/>
      <c r="J43" s="15"/>
      <c r="K43" s="15"/>
      <c r="L43" s="15"/>
    </row>
    <row r="44" spans="1:13">
      <c r="L44" s="127"/>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3"/>
  <dimension ref="A1:U22"/>
  <sheetViews>
    <sheetView workbookViewId="0">
      <selection activeCell="AE10" sqref="AE10"/>
    </sheetView>
  </sheetViews>
  <sheetFormatPr baseColWidth="10" defaultColWidth="11.42578125" defaultRowHeight="15"/>
  <cols>
    <col min="2" max="2" width="20.140625" bestFit="1" customWidth="1"/>
    <col min="3" max="4" width="15.42578125" customWidth="1"/>
    <col min="5" max="5" width="17.7109375" hidden="1" customWidth="1"/>
    <col min="6" max="6" width="16.7109375" hidden="1" customWidth="1"/>
    <col min="7" max="7" width="0" hidden="1" customWidth="1"/>
    <col min="8" max="8" width="17.42578125" hidden="1" customWidth="1"/>
    <col min="9" max="10" width="0" hidden="1" customWidth="1"/>
    <col min="11" max="11" width="16.42578125" hidden="1" customWidth="1"/>
    <col min="12" max="13" width="0" hidden="1" customWidth="1"/>
    <col min="14" max="14" width="16.140625" hidden="1" customWidth="1"/>
    <col min="15" max="16" width="0" hidden="1" customWidth="1"/>
    <col min="17" max="17" width="16.7109375" hidden="1" customWidth="1"/>
    <col min="18" max="21" width="0" hidden="1" customWidth="1"/>
  </cols>
  <sheetData>
    <row r="1" spans="1:21" ht="15.75" thickBot="1">
      <c r="A1" s="547" t="s">
        <v>349</v>
      </c>
      <c r="B1" s="548"/>
      <c r="C1" s="74">
        <v>39</v>
      </c>
      <c r="E1" s="541" t="s">
        <v>173</v>
      </c>
      <c r="F1" s="541"/>
      <c r="H1" s="541" t="s">
        <v>189</v>
      </c>
      <c r="I1" s="541"/>
      <c r="K1" s="541" t="s">
        <v>210</v>
      </c>
      <c r="L1" s="541"/>
      <c r="N1" s="541" t="s">
        <v>211</v>
      </c>
      <c r="O1" s="541"/>
      <c r="Q1" s="541" t="s">
        <v>232</v>
      </c>
      <c r="R1" s="541"/>
      <c r="T1">
        <v>2024</v>
      </c>
    </row>
    <row r="2" spans="1:21" ht="30.75" thickBot="1">
      <c r="A2" s="36" t="s">
        <v>34</v>
      </c>
      <c r="B2" s="192" t="s">
        <v>35</v>
      </c>
      <c r="C2" s="192" t="s">
        <v>36</v>
      </c>
      <c r="D2" s="29" t="s">
        <v>330</v>
      </c>
      <c r="E2" s="193" t="s">
        <v>151</v>
      </c>
      <c r="F2" s="193" t="s">
        <v>152</v>
      </c>
      <c r="H2" s="194" t="s">
        <v>151</v>
      </c>
      <c r="I2" s="194" t="s">
        <v>152</v>
      </c>
      <c r="K2" s="195" t="s">
        <v>151</v>
      </c>
      <c r="L2" s="195" t="s">
        <v>152</v>
      </c>
      <c r="N2" s="194" t="s">
        <v>151</v>
      </c>
      <c r="O2" s="194" t="s">
        <v>152</v>
      </c>
      <c r="Q2" s="194" t="s">
        <v>151</v>
      </c>
      <c r="R2" s="194" t="s">
        <v>152</v>
      </c>
      <c r="T2" t="s">
        <v>328</v>
      </c>
      <c r="U2" t="s">
        <v>329</v>
      </c>
    </row>
    <row r="3" spans="1:21" ht="52.15" customHeight="1" thickBot="1">
      <c r="A3" s="35">
        <v>2019</v>
      </c>
      <c r="B3" s="196"/>
      <c r="C3" s="196"/>
      <c r="D3" s="29"/>
      <c r="E3" s="197" t="s">
        <v>153</v>
      </c>
      <c r="F3" s="197" t="s">
        <v>154</v>
      </c>
      <c r="H3" s="198">
        <v>1</v>
      </c>
      <c r="I3" s="198" t="s">
        <v>174</v>
      </c>
      <c r="K3" s="198">
        <v>1</v>
      </c>
      <c r="L3" s="198" t="s">
        <v>190</v>
      </c>
      <c r="N3" s="198">
        <v>1</v>
      </c>
      <c r="O3" s="198" t="s">
        <v>212</v>
      </c>
      <c r="Q3" s="198">
        <v>1</v>
      </c>
      <c r="R3" s="198" t="s">
        <v>233</v>
      </c>
      <c r="T3" s="199">
        <v>1</v>
      </c>
      <c r="U3" s="199" t="s">
        <v>308</v>
      </c>
    </row>
    <row r="4" spans="1:21" ht="52.15" customHeight="1" thickBot="1">
      <c r="A4" s="35">
        <v>2020</v>
      </c>
      <c r="B4" s="12"/>
      <c r="C4" s="196" t="str">
        <f>VLOOKUP(C1,H3:I17,2,TRUE)</f>
        <v>02 de Junio de 2021</v>
      </c>
      <c r="D4" s="29"/>
      <c r="E4" s="197" t="s">
        <v>155</v>
      </c>
      <c r="F4" s="197" t="s">
        <v>156</v>
      </c>
      <c r="H4" s="198">
        <v>7</v>
      </c>
      <c r="I4" s="198" t="s">
        <v>175</v>
      </c>
      <c r="K4" s="198">
        <v>6</v>
      </c>
      <c r="L4" s="198" t="s">
        <v>191</v>
      </c>
      <c r="N4" s="198">
        <v>6</v>
      </c>
      <c r="O4" s="198" t="s">
        <v>213</v>
      </c>
      <c r="Q4" s="198">
        <v>6</v>
      </c>
      <c r="R4" s="198" t="s">
        <v>234</v>
      </c>
      <c r="T4" s="199">
        <v>6</v>
      </c>
      <c r="U4" s="199" t="s">
        <v>309</v>
      </c>
    </row>
    <row r="5" spans="1:21" ht="52.15" customHeight="1" thickBot="1">
      <c r="A5" s="35">
        <v>2021</v>
      </c>
      <c r="B5" s="200"/>
      <c r="C5" s="201" t="str">
        <f>VLOOKUP(C1,K3:L17,2,TRUE)</f>
        <v>19 de Mayo de 2022</v>
      </c>
      <c r="D5" s="70"/>
      <c r="E5" s="197" t="s">
        <v>157</v>
      </c>
      <c r="F5" s="197" t="s">
        <v>158</v>
      </c>
      <c r="H5" s="198">
        <v>13</v>
      </c>
      <c r="I5" s="198" t="s">
        <v>176</v>
      </c>
      <c r="K5" s="198">
        <v>11</v>
      </c>
      <c r="L5" s="198" t="s">
        <v>192</v>
      </c>
      <c r="N5" s="198">
        <v>11</v>
      </c>
      <c r="O5" s="198" t="s">
        <v>214</v>
      </c>
      <c r="Q5" s="198">
        <v>11</v>
      </c>
      <c r="R5" s="198" t="s">
        <v>235</v>
      </c>
      <c r="T5" s="199">
        <v>11</v>
      </c>
      <c r="U5" s="199" t="s">
        <v>310</v>
      </c>
    </row>
    <row r="6" spans="1:21" ht="52.15" customHeight="1" thickBot="1">
      <c r="A6" s="35">
        <v>2022</v>
      </c>
      <c r="B6" s="229"/>
      <c r="C6" s="201" t="str">
        <f>VLOOKUP($C$1,N3:O17,2,TRUE)</f>
        <v>26 de Mayo de 2023</v>
      </c>
      <c r="D6" s="70"/>
      <c r="E6" s="197" t="s">
        <v>159</v>
      </c>
      <c r="F6" s="197" t="s">
        <v>160</v>
      </c>
      <c r="H6" s="198">
        <v>19</v>
      </c>
      <c r="I6" s="198" t="s">
        <v>177</v>
      </c>
      <c r="K6" s="198">
        <v>16</v>
      </c>
      <c r="L6" s="198" t="s">
        <v>193</v>
      </c>
      <c r="N6" s="198">
        <v>16</v>
      </c>
      <c r="O6" s="198" t="s">
        <v>215</v>
      </c>
      <c r="Q6" s="198">
        <v>16</v>
      </c>
      <c r="R6" s="198" t="s">
        <v>236</v>
      </c>
      <c r="T6" s="199">
        <v>16</v>
      </c>
      <c r="U6" s="199" t="s">
        <v>311</v>
      </c>
    </row>
    <row r="7" spans="1:21" ht="52.15" customHeight="1" thickBot="1">
      <c r="A7" s="73">
        <v>2023</v>
      </c>
      <c r="B7" s="230"/>
      <c r="C7" s="202" t="str">
        <f>VLOOKUP($C$1,Q3:R17,2,TRUE)</f>
        <v>20 de Mayo de 2024</v>
      </c>
      <c r="D7" s="29"/>
      <c r="E7" s="197" t="s">
        <v>161</v>
      </c>
      <c r="F7" s="197" t="s">
        <v>162</v>
      </c>
      <c r="H7" s="198">
        <v>25</v>
      </c>
      <c r="I7" s="198" t="s">
        <v>178</v>
      </c>
      <c r="K7" s="198">
        <v>21</v>
      </c>
      <c r="L7" s="198" t="s">
        <v>194</v>
      </c>
      <c r="N7" s="198">
        <v>21</v>
      </c>
      <c r="O7" s="198" t="s">
        <v>216</v>
      </c>
      <c r="Q7" s="198">
        <v>21</v>
      </c>
      <c r="R7" s="198" t="s">
        <v>237</v>
      </c>
      <c r="T7" s="199">
        <v>21</v>
      </c>
      <c r="U7" s="199" t="s">
        <v>312</v>
      </c>
    </row>
    <row r="8" spans="1:21" ht="52.15" customHeight="1" thickBot="1">
      <c r="A8" s="73">
        <v>2024</v>
      </c>
      <c r="B8" s="230"/>
      <c r="C8" s="202" t="str">
        <f>VLOOKUP($C$1,T3:U17,2,TRUE)</f>
        <v>23 de mayo de 2025</v>
      </c>
      <c r="D8" s="29"/>
      <c r="E8" s="197" t="s">
        <v>163</v>
      </c>
      <c r="F8" s="197" t="s">
        <v>164</v>
      </c>
      <c r="H8" s="198">
        <v>31</v>
      </c>
      <c r="I8" s="198" t="s">
        <v>179</v>
      </c>
      <c r="K8" s="198">
        <v>26</v>
      </c>
      <c r="L8" s="198" t="s">
        <v>195</v>
      </c>
      <c r="N8" s="198">
        <v>26</v>
      </c>
      <c r="O8" s="198" t="s">
        <v>217</v>
      </c>
      <c r="Q8" s="198">
        <v>26</v>
      </c>
      <c r="R8" s="198" t="s">
        <v>238</v>
      </c>
      <c r="T8" s="199">
        <v>26</v>
      </c>
      <c r="U8" s="199" t="s">
        <v>313</v>
      </c>
    </row>
    <row r="9" spans="1:21" ht="52.15" customHeight="1" thickBot="1">
      <c r="E9" s="197" t="s">
        <v>165</v>
      </c>
      <c r="F9" s="197" t="s">
        <v>166</v>
      </c>
      <c r="H9" s="198">
        <v>38</v>
      </c>
      <c r="I9" s="198" t="s">
        <v>180</v>
      </c>
      <c r="K9" s="198">
        <v>31</v>
      </c>
      <c r="L9" s="198" t="s">
        <v>196</v>
      </c>
      <c r="N9" s="198">
        <v>31</v>
      </c>
      <c r="O9" s="198" t="s">
        <v>218</v>
      </c>
      <c r="Q9" s="198">
        <v>31</v>
      </c>
      <c r="R9" s="198" t="s">
        <v>239</v>
      </c>
      <c r="T9" s="199">
        <v>31</v>
      </c>
      <c r="U9" s="199" t="s">
        <v>314</v>
      </c>
    </row>
    <row r="10" spans="1:21" ht="52.15" customHeight="1" thickBot="1">
      <c r="E10" s="197" t="s">
        <v>167</v>
      </c>
      <c r="F10" s="197" t="s">
        <v>168</v>
      </c>
      <c r="H10" s="198">
        <v>45</v>
      </c>
      <c r="I10" s="198" t="s">
        <v>181</v>
      </c>
      <c r="K10" s="198">
        <v>36</v>
      </c>
      <c r="L10" s="198" t="s">
        <v>197</v>
      </c>
      <c r="N10" s="198">
        <v>36</v>
      </c>
      <c r="O10" s="198" t="s">
        <v>219</v>
      </c>
      <c r="Q10" s="198">
        <v>36</v>
      </c>
      <c r="R10" s="198" t="s">
        <v>240</v>
      </c>
      <c r="T10" s="199">
        <v>36</v>
      </c>
      <c r="U10" s="199" t="s">
        <v>315</v>
      </c>
    </row>
    <row r="11" spans="1:21" ht="52.15" customHeight="1" thickBot="1">
      <c r="E11" s="197" t="s">
        <v>169</v>
      </c>
      <c r="F11" s="197" t="s">
        <v>170</v>
      </c>
      <c r="H11" s="198">
        <v>52</v>
      </c>
      <c r="I11" s="198" t="s">
        <v>182</v>
      </c>
      <c r="K11" s="198">
        <v>41</v>
      </c>
      <c r="L11" s="198" t="s">
        <v>198</v>
      </c>
      <c r="N11" s="198">
        <v>41</v>
      </c>
      <c r="O11" s="198" t="s">
        <v>220</v>
      </c>
      <c r="Q11" s="198">
        <v>41</v>
      </c>
      <c r="R11" s="198" t="s">
        <v>241</v>
      </c>
      <c r="T11" s="199">
        <v>41</v>
      </c>
      <c r="U11" s="199" t="s">
        <v>316</v>
      </c>
    </row>
    <row r="12" spans="1:21" ht="52.15" customHeight="1" thickBot="1">
      <c r="E12" s="197" t="s">
        <v>171</v>
      </c>
      <c r="F12" s="197" t="s">
        <v>172</v>
      </c>
      <c r="H12" s="198">
        <v>59</v>
      </c>
      <c r="I12" s="198" t="s">
        <v>183</v>
      </c>
      <c r="K12" s="198">
        <v>46</v>
      </c>
      <c r="L12" s="198" t="s">
        <v>199</v>
      </c>
      <c r="N12" s="198">
        <v>46</v>
      </c>
      <c r="O12" s="198" t="s">
        <v>221</v>
      </c>
      <c r="Q12" s="198">
        <v>46</v>
      </c>
      <c r="R12" s="198" t="s">
        <v>242</v>
      </c>
      <c r="T12" s="199">
        <v>46</v>
      </c>
      <c r="U12" s="199" t="s">
        <v>317</v>
      </c>
    </row>
    <row r="13" spans="1:21" ht="30.75" thickBot="1">
      <c r="H13" s="198">
        <v>66</v>
      </c>
      <c r="I13" s="198" t="s">
        <v>184</v>
      </c>
      <c r="K13" s="198">
        <v>51</v>
      </c>
      <c r="L13" s="198" t="s">
        <v>200</v>
      </c>
      <c r="N13" s="198">
        <v>51</v>
      </c>
      <c r="O13" s="198" t="s">
        <v>222</v>
      </c>
      <c r="Q13" s="198">
        <v>51</v>
      </c>
      <c r="R13" s="198" t="s">
        <v>243</v>
      </c>
      <c r="T13" s="199">
        <v>51</v>
      </c>
      <c r="U13" s="199" t="s">
        <v>318</v>
      </c>
    </row>
    <row r="14" spans="1:21" ht="30.75" thickBot="1">
      <c r="H14" s="198">
        <v>72</v>
      </c>
      <c r="I14" s="198" t="s">
        <v>185</v>
      </c>
      <c r="K14" s="198">
        <v>56</v>
      </c>
      <c r="L14" s="198" t="s">
        <v>201</v>
      </c>
      <c r="N14" s="198">
        <v>56</v>
      </c>
      <c r="O14" s="198" t="s">
        <v>223</v>
      </c>
      <c r="Q14" s="198">
        <v>56</v>
      </c>
      <c r="R14" s="198" t="s">
        <v>244</v>
      </c>
      <c r="T14" s="199">
        <v>56</v>
      </c>
      <c r="U14" s="199" t="s">
        <v>319</v>
      </c>
    </row>
    <row r="15" spans="1:21" ht="30.75" thickBot="1">
      <c r="H15" s="198">
        <v>80</v>
      </c>
      <c r="I15" s="198" t="s">
        <v>186</v>
      </c>
      <c r="K15" s="198">
        <v>61</v>
      </c>
      <c r="L15" s="198" t="s">
        <v>202</v>
      </c>
      <c r="N15" s="198">
        <v>61</v>
      </c>
      <c r="O15" s="198" t="s">
        <v>224</v>
      </c>
      <c r="Q15" s="198">
        <v>61</v>
      </c>
      <c r="R15" s="198" t="s">
        <v>245</v>
      </c>
      <c r="T15" s="199">
        <v>61</v>
      </c>
      <c r="U15" s="199" t="s">
        <v>320</v>
      </c>
    </row>
    <row r="16" spans="1:21" ht="30.75" thickBot="1">
      <c r="H16" s="198">
        <v>87</v>
      </c>
      <c r="I16" s="198" t="s">
        <v>187</v>
      </c>
      <c r="K16" s="198">
        <v>66</v>
      </c>
      <c r="L16" s="198" t="s">
        <v>203</v>
      </c>
      <c r="N16" s="198">
        <v>66</v>
      </c>
      <c r="O16" s="198" t="s">
        <v>225</v>
      </c>
      <c r="Q16" s="198">
        <v>66</v>
      </c>
      <c r="R16" s="198" t="s">
        <v>246</v>
      </c>
      <c r="T16" s="199">
        <v>66</v>
      </c>
      <c r="U16" s="199" t="s">
        <v>321</v>
      </c>
    </row>
    <row r="17" spans="8:21" ht="30.75" thickBot="1">
      <c r="H17" s="198">
        <v>94</v>
      </c>
      <c r="I17" s="198" t="s">
        <v>188</v>
      </c>
      <c r="K17" s="198">
        <v>71</v>
      </c>
      <c r="L17" s="198" t="s">
        <v>204</v>
      </c>
      <c r="N17" s="198">
        <v>71</v>
      </c>
      <c r="O17" s="198" t="s">
        <v>226</v>
      </c>
      <c r="Q17" s="198">
        <v>71</v>
      </c>
      <c r="R17" s="198" t="s">
        <v>247</v>
      </c>
      <c r="T17" s="199">
        <v>71</v>
      </c>
      <c r="U17" s="199" t="s">
        <v>322</v>
      </c>
    </row>
    <row r="18" spans="8:21" ht="30.75" thickBot="1">
      <c r="K18" s="198">
        <v>76</v>
      </c>
      <c r="L18" s="198" t="s">
        <v>205</v>
      </c>
      <c r="N18" s="198">
        <v>76</v>
      </c>
      <c r="O18" s="198" t="s">
        <v>227</v>
      </c>
      <c r="Q18" s="198">
        <v>76</v>
      </c>
      <c r="R18" s="198" t="s">
        <v>248</v>
      </c>
      <c r="T18" s="199">
        <v>76</v>
      </c>
      <c r="U18" s="199" t="s">
        <v>323</v>
      </c>
    </row>
    <row r="19" spans="8:21" ht="30.75" thickBot="1">
      <c r="K19" s="198">
        <v>81</v>
      </c>
      <c r="L19" s="198" t="s">
        <v>206</v>
      </c>
      <c r="N19" s="198">
        <v>81</v>
      </c>
      <c r="O19" s="198" t="s">
        <v>228</v>
      </c>
      <c r="Q19" s="198">
        <v>81</v>
      </c>
      <c r="R19" s="198" t="s">
        <v>249</v>
      </c>
      <c r="T19" s="199">
        <v>81</v>
      </c>
      <c r="U19" s="199" t="s">
        <v>324</v>
      </c>
    </row>
    <row r="20" spans="8:21" ht="30.75" thickBot="1">
      <c r="K20" s="198">
        <v>86</v>
      </c>
      <c r="L20" s="198" t="s">
        <v>207</v>
      </c>
      <c r="N20" s="198">
        <v>86</v>
      </c>
      <c r="O20" s="198" t="s">
        <v>229</v>
      </c>
      <c r="Q20" s="198">
        <v>86</v>
      </c>
      <c r="R20" s="198" t="s">
        <v>250</v>
      </c>
      <c r="T20" s="199">
        <v>86</v>
      </c>
      <c r="U20" s="199" t="s">
        <v>325</v>
      </c>
    </row>
    <row r="21" spans="8:21" ht="30.75" thickBot="1">
      <c r="K21" s="198">
        <v>91</v>
      </c>
      <c r="L21" s="198" t="s">
        <v>208</v>
      </c>
      <c r="N21" s="198">
        <v>91</v>
      </c>
      <c r="O21" s="198" t="s">
        <v>230</v>
      </c>
      <c r="Q21" s="198">
        <v>91</v>
      </c>
      <c r="R21" s="198" t="s">
        <v>251</v>
      </c>
      <c r="T21" s="199">
        <v>91</v>
      </c>
      <c r="U21" s="199" t="s">
        <v>326</v>
      </c>
    </row>
    <row r="22" spans="8:21" ht="30.75" thickBot="1">
      <c r="K22" s="198">
        <v>96</v>
      </c>
      <c r="L22" s="198" t="s">
        <v>209</v>
      </c>
      <c r="N22" s="198">
        <v>96</v>
      </c>
      <c r="O22" s="198" t="s">
        <v>231</v>
      </c>
      <c r="Q22" s="198">
        <v>96</v>
      </c>
      <c r="R22" s="198" t="s">
        <v>252</v>
      </c>
      <c r="T22" s="199">
        <v>96</v>
      </c>
      <c r="U22" s="199" t="s">
        <v>327</v>
      </c>
    </row>
  </sheetData>
  <mergeCells count="6">
    <mergeCell ref="Q1:R1"/>
    <mergeCell ref="A1:B1"/>
    <mergeCell ref="E1:F1"/>
    <mergeCell ref="H1:I1"/>
    <mergeCell ref="K1:L1"/>
    <mergeCell ref="N1:O1"/>
  </mergeCell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2"/>
  <dimension ref="A1:D49"/>
  <sheetViews>
    <sheetView zoomScale="93" workbookViewId="0">
      <selection activeCell="A2" sqref="A2"/>
    </sheetView>
  </sheetViews>
  <sheetFormatPr baseColWidth="10" defaultColWidth="11.42578125" defaultRowHeight="15.75"/>
  <cols>
    <col min="1" max="1" width="25.7109375" style="251" bestFit="1" customWidth="1"/>
    <col min="2" max="2" width="18.85546875" style="251" bestFit="1" customWidth="1"/>
    <col min="3" max="3" width="16" style="334" bestFit="1" customWidth="1"/>
    <col min="4" max="4" width="28" style="335" bestFit="1" customWidth="1"/>
    <col min="5" max="16384" width="11.42578125" style="251"/>
  </cols>
  <sheetData>
    <row r="1" spans="1:4" ht="16.5" thickBot="1">
      <c r="A1" s="356" t="s">
        <v>41</v>
      </c>
      <c r="B1" s="317"/>
      <c r="C1" s="318"/>
      <c r="D1" s="319"/>
    </row>
    <row r="2" spans="1:4">
      <c r="A2" s="320" t="s">
        <v>0</v>
      </c>
      <c r="B2" s="321" t="s">
        <v>1</v>
      </c>
      <c r="C2" s="322" t="s">
        <v>2</v>
      </c>
      <c r="D2" s="323" t="s">
        <v>3</v>
      </c>
    </row>
    <row r="3" spans="1:4">
      <c r="A3" s="324" t="s">
        <v>128</v>
      </c>
      <c r="B3" s="325"/>
      <c r="C3" s="326"/>
      <c r="D3" s="327"/>
    </row>
    <row r="4" spans="1:4">
      <c r="A4" s="324" t="s">
        <v>148</v>
      </c>
      <c r="B4" s="325"/>
      <c r="C4" s="328"/>
      <c r="D4" s="329"/>
    </row>
    <row r="5" spans="1:4">
      <c r="A5" s="324" t="s">
        <v>50</v>
      </c>
      <c r="B5" s="325"/>
      <c r="C5" s="326"/>
      <c r="D5" s="327"/>
    </row>
    <row r="6" spans="1:4">
      <c r="A6" s="324" t="s">
        <v>129</v>
      </c>
      <c r="B6" s="325"/>
      <c r="C6" s="328"/>
      <c r="D6" s="329"/>
    </row>
    <row r="7" spans="1:4">
      <c r="A7" s="324" t="s">
        <v>47</v>
      </c>
      <c r="B7" s="325"/>
      <c r="C7" s="326"/>
      <c r="D7" s="327"/>
    </row>
    <row r="8" spans="1:4">
      <c r="A8" s="324" t="s">
        <v>48</v>
      </c>
      <c r="B8" s="325"/>
      <c r="C8" s="328"/>
      <c r="D8" s="329"/>
    </row>
    <row r="9" spans="1:4">
      <c r="A9" s="330" t="s">
        <v>286</v>
      </c>
      <c r="B9" s="331"/>
      <c r="C9" s="332"/>
      <c r="D9" s="333"/>
    </row>
    <row r="11" spans="1:4">
      <c r="A11" s="316" t="s">
        <v>42</v>
      </c>
      <c r="B11" s="317"/>
      <c r="C11" s="318"/>
      <c r="D11" s="319"/>
    </row>
    <row r="12" spans="1:4">
      <c r="A12" s="320" t="s">
        <v>0</v>
      </c>
      <c r="B12" s="321" t="s">
        <v>1</v>
      </c>
      <c r="C12" s="322" t="s">
        <v>2</v>
      </c>
      <c r="D12" s="323" t="s">
        <v>3</v>
      </c>
    </row>
    <row r="13" spans="1:4">
      <c r="A13" s="324" t="s">
        <v>128</v>
      </c>
      <c r="B13" s="325"/>
      <c r="C13" s="326"/>
      <c r="D13" s="327"/>
    </row>
    <row r="14" spans="1:4">
      <c r="A14" s="324" t="s">
        <v>148</v>
      </c>
      <c r="B14" s="325"/>
      <c r="C14" s="328"/>
      <c r="D14" s="329"/>
    </row>
    <row r="15" spans="1:4">
      <c r="A15" s="324" t="s">
        <v>50</v>
      </c>
      <c r="B15" s="325"/>
      <c r="C15" s="326"/>
      <c r="D15" s="327"/>
    </row>
    <row r="16" spans="1:4">
      <c r="A16" s="324" t="s">
        <v>129</v>
      </c>
      <c r="B16" s="325"/>
      <c r="C16" s="328"/>
      <c r="D16" s="329"/>
    </row>
    <row r="17" spans="1:4">
      <c r="A17" s="324" t="s">
        <v>47</v>
      </c>
      <c r="B17" s="325"/>
      <c r="C17" s="326"/>
      <c r="D17" s="327"/>
    </row>
    <row r="18" spans="1:4">
      <c r="A18" s="324" t="s">
        <v>48</v>
      </c>
      <c r="B18" s="325"/>
      <c r="C18" s="328"/>
      <c r="D18" s="329"/>
    </row>
    <row r="19" spans="1:4">
      <c r="A19" s="330" t="s">
        <v>286</v>
      </c>
      <c r="B19" s="336"/>
      <c r="C19" s="332"/>
      <c r="D19" s="333"/>
    </row>
    <row r="21" spans="1:4">
      <c r="A21" s="316" t="s">
        <v>65</v>
      </c>
      <c r="B21" s="317"/>
      <c r="C21" s="318"/>
      <c r="D21" s="319"/>
    </row>
    <row r="22" spans="1:4">
      <c r="A22" s="320" t="s">
        <v>0</v>
      </c>
      <c r="B22" s="321" t="s">
        <v>1</v>
      </c>
      <c r="C22" s="322" t="s">
        <v>2</v>
      </c>
      <c r="D22" s="323" t="s">
        <v>3</v>
      </c>
    </row>
    <row r="23" spans="1:4">
      <c r="A23" s="324" t="s">
        <v>128</v>
      </c>
      <c r="B23" s="325"/>
      <c r="C23" s="326"/>
      <c r="D23" s="327"/>
    </row>
    <row r="24" spans="1:4">
      <c r="A24" s="324" t="s">
        <v>148</v>
      </c>
      <c r="B24" s="325"/>
      <c r="C24" s="328"/>
      <c r="D24" s="329"/>
    </row>
    <row r="25" spans="1:4">
      <c r="A25" s="324" t="s">
        <v>50</v>
      </c>
      <c r="B25" s="325"/>
      <c r="C25" s="326"/>
      <c r="D25" s="327"/>
    </row>
    <row r="26" spans="1:4">
      <c r="A26" s="324" t="s">
        <v>129</v>
      </c>
      <c r="B26" s="325"/>
      <c r="C26" s="328"/>
      <c r="D26" s="329"/>
    </row>
    <row r="27" spans="1:4">
      <c r="A27" s="324" t="s">
        <v>47</v>
      </c>
      <c r="B27" s="325"/>
      <c r="C27" s="326"/>
      <c r="D27" s="327"/>
    </row>
    <row r="28" spans="1:4">
      <c r="A28" s="324" t="s">
        <v>48</v>
      </c>
      <c r="B28" s="325"/>
      <c r="C28" s="328"/>
      <c r="D28" s="329"/>
    </row>
    <row r="29" spans="1:4">
      <c r="A29" s="330" t="s">
        <v>286</v>
      </c>
      <c r="B29" s="337"/>
      <c r="C29" s="332"/>
      <c r="D29" s="333"/>
    </row>
    <row r="31" spans="1:4">
      <c r="A31" s="316" t="s">
        <v>67</v>
      </c>
      <c r="B31" s="317"/>
      <c r="C31" s="318"/>
      <c r="D31" s="319"/>
    </row>
    <row r="32" spans="1:4">
      <c r="A32" s="320" t="s">
        <v>0</v>
      </c>
      <c r="B32" s="321" t="s">
        <v>1</v>
      </c>
      <c r="C32" s="322" t="s">
        <v>2</v>
      </c>
      <c r="D32" s="323" t="s">
        <v>3</v>
      </c>
    </row>
    <row r="33" spans="1:4">
      <c r="A33" s="324" t="s">
        <v>128</v>
      </c>
      <c r="B33" s="325"/>
      <c r="C33" s="326"/>
      <c r="D33" s="327"/>
    </row>
    <row r="34" spans="1:4">
      <c r="A34" s="324" t="s">
        <v>148</v>
      </c>
      <c r="B34" s="325"/>
      <c r="C34" s="328"/>
      <c r="D34" s="329"/>
    </row>
    <row r="35" spans="1:4">
      <c r="A35" s="324" t="s">
        <v>50</v>
      </c>
      <c r="B35" s="325"/>
      <c r="C35" s="326"/>
      <c r="D35" s="327"/>
    </row>
    <row r="36" spans="1:4">
      <c r="A36" s="324" t="s">
        <v>129</v>
      </c>
      <c r="B36" s="338"/>
      <c r="C36" s="328"/>
      <c r="D36" s="329"/>
    </row>
    <row r="37" spans="1:4">
      <c r="A37" s="324" t="s">
        <v>47</v>
      </c>
      <c r="B37" s="325"/>
      <c r="C37" s="326"/>
      <c r="D37" s="327"/>
    </row>
    <row r="38" spans="1:4">
      <c r="A38" s="324" t="s">
        <v>48</v>
      </c>
      <c r="B38" s="325"/>
      <c r="C38" s="328"/>
      <c r="D38" s="329"/>
    </row>
    <row r="39" spans="1:4">
      <c r="A39" s="330" t="s">
        <v>286</v>
      </c>
      <c r="B39" s="336"/>
      <c r="C39" s="332"/>
      <c r="D39" s="333"/>
    </row>
    <row r="41" spans="1:4">
      <c r="A41" s="316" t="s">
        <v>306</v>
      </c>
      <c r="B41" s="317"/>
      <c r="C41" s="318"/>
      <c r="D41" s="319"/>
    </row>
    <row r="42" spans="1:4">
      <c r="A42" s="320" t="s">
        <v>0</v>
      </c>
      <c r="B42" s="321" t="s">
        <v>1</v>
      </c>
      <c r="C42" s="322" t="s">
        <v>2</v>
      </c>
      <c r="D42" s="323" t="s">
        <v>3</v>
      </c>
    </row>
    <row r="43" spans="1:4">
      <c r="A43" s="324" t="s">
        <v>128</v>
      </c>
      <c r="B43" s="325"/>
      <c r="C43" s="326"/>
      <c r="D43" s="327"/>
    </row>
    <row r="44" spans="1:4">
      <c r="A44" s="324" t="s">
        <v>148</v>
      </c>
      <c r="B44" s="325"/>
      <c r="C44" s="328"/>
      <c r="D44" s="329"/>
    </row>
    <row r="45" spans="1:4">
      <c r="A45" s="324" t="s">
        <v>50</v>
      </c>
      <c r="B45" s="325"/>
      <c r="C45" s="326"/>
      <c r="D45" s="327"/>
    </row>
    <row r="46" spans="1:4">
      <c r="A46" s="324" t="s">
        <v>129</v>
      </c>
      <c r="B46" s="338"/>
      <c r="C46" s="328"/>
      <c r="D46" s="329"/>
    </row>
    <row r="47" spans="1:4">
      <c r="A47" s="324" t="s">
        <v>47</v>
      </c>
      <c r="B47" s="325"/>
      <c r="C47" s="326"/>
      <c r="D47" s="327"/>
    </row>
    <row r="48" spans="1:4">
      <c r="A48" s="324" t="s">
        <v>48</v>
      </c>
      <c r="B48" s="325"/>
      <c r="C48" s="328"/>
      <c r="D48" s="329"/>
    </row>
    <row r="49" spans="1:4">
      <c r="A49" s="330" t="s">
        <v>286</v>
      </c>
      <c r="B49" s="336"/>
      <c r="C49" s="332"/>
      <c r="D49" s="337"/>
    </row>
  </sheetData>
  <phoneticPr fontId="12" type="noConversion"/>
  <pageMargins left="0.7" right="0.7" top="0.75" bottom="0.75" header="0.3" footer="0.3"/>
  <pageSetup paperSize="132"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4"/>
  <dimension ref="A1:J30"/>
  <sheetViews>
    <sheetView zoomScale="80" zoomScaleNormal="80" workbookViewId="0">
      <selection activeCell="F11" sqref="F11"/>
    </sheetView>
  </sheetViews>
  <sheetFormatPr baseColWidth="10" defaultColWidth="11.5703125" defaultRowHeight="15.75"/>
  <cols>
    <col min="1" max="2" width="11.5703125" style="250"/>
    <col min="3" max="3" width="17.7109375" style="250" bestFit="1" customWidth="1"/>
    <col min="4" max="4" width="18.42578125" style="250" bestFit="1" customWidth="1"/>
    <col min="5" max="5" width="51" style="250" customWidth="1"/>
    <col min="6" max="6" width="14" style="250" bestFit="1" customWidth="1"/>
    <col min="7" max="7" width="16.7109375" style="250" bestFit="1" customWidth="1"/>
    <col min="8" max="8" width="17.42578125" style="250" customWidth="1"/>
    <col min="9" max="9" width="22" style="250" bestFit="1" customWidth="1"/>
    <col min="10" max="10" width="23.140625" style="250" bestFit="1" customWidth="1"/>
    <col min="11" max="11" width="16.5703125" style="250" bestFit="1" customWidth="1"/>
    <col min="12" max="16384" width="11.5703125" style="250"/>
  </cols>
  <sheetData>
    <row r="1" spans="1:10" ht="16.5" thickBot="1">
      <c r="A1" s="355" t="s">
        <v>268</v>
      </c>
      <c r="B1" s="554" t="s">
        <v>253</v>
      </c>
      <c r="C1" s="555"/>
      <c r="D1" s="555"/>
      <c r="E1" s="556"/>
      <c r="F1" s="251"/>
      <c r="G1" s="557" t="s">
        <v>254</v>
      </c>
      <c r="H1" s="568" t="s">
        <v>255</v>
      </c>
      <c r="I1" s="570" t="s">
        <v>256</v>
      </c>
      <c r="J1" s="571"/>
    </row>
    <row r="2" spans="1:10" ht="16.5" thickBot="1">
      <c r="B2" s="576" t="s">
        <v>367</v>
      </c>
      <c r="C2" s="576"/>
      <c r="D2" s="576"/>
      <c r="E2" s="576"/>
      <c r="F2" s="251"/>
      <c r="G2" s="558"/>
      <c r="H2" s="569"/>
      <c r="I2" s="301">
        <v>20000</v>
      </c>
      <c r="J2" s="302">
        <v>50000</v>
      </c>
    </row>
    <row r="3" spans="1:10" ht="16.5" thickBot="1">
      <c r="B3" s="572" t="s">
        <v>257</v>
      </c>
      <c r="C3" s="573"/>
      <c r="D3" s="574" t="s">
        <v>258</v>
      </c>
      <c r="E3" s="574" t="s">
        <v>259</v>
      </c>
      <c r="F3" s="251"/>
      <c r="G3" s="303">
        <v>2023</v>
      </c>
      <c r="H3" s="247">
        <v>42412</v>
      </c>
      <c r="I3" s="248">
        <f>I2*H3</f>
        <v>848240000</v>
      </c>
      <c r="J3" s="248">
        <f>J2*H3</f>
        <v>2120600000</v>
      </c>
    </row>
    <row r="4" spans="1:10" ht="16.5" thickBot="1">
      <c r="B4" s="304" t="s">
        <v>260</v>
      </c>
      <c r="C4" s="305" t="s">
        <v>261</v>
      </c>
      <c r="D4" s="575"/>
      <c r="E4" s="575"/>
      <c r="F4" s="251"/>
      <c r="G4" s="303">
        <v>2024</v>
      </c>
      <c r="H4" s="249">
        <v>47065</v>
      </c>
      <c r="I4" s="249">
        <f>I2*H4</f>
        <v>941300000</v>
      </c>
      <c r="J4" s="249">
        <f>J2*H4</f>
        <v>2353250000</v>
      </c>
    </row>
    <row r="5" spans="1:10" ht="16.5" thickBot="1">
      <c r="B5" s="306">
        <v>0</v>
      </c>
      <c r="C5" s="307">
        <v>20000</v>
      </c>
      <c r="D5" s="308">
        <v>0</v>
      </c>
      <c r="E5" s="309">
        <v>0</v>
      </c>
      <c r="F5" s="251"/>
      <c r="G5" s="303">
        <v>2025</v>
      </c>
      <c r="H5" s="249">
        <v>49799</v>
      </c>
      <c r="I5" s="249">
        <f>I2*H5</f>
        <v>995980000</v>
      </c>
      <c r="J5" s="249">
        <f>J2*H5</f>
        <v>2489950000</v>
      </c>
    </row>
    <row r="6" spans="1:10" ht="18" customHeight="1" thickBot="1">
      <c r="B6" s="306" t="s">
        <v>262</v>
      </c>
      <c r="C6" s="307">
        <v>50000</v>
      </c>
      <c r="D6" s="310">
        <v>1.4999999999999999E-2</v>
      </c>
      <c r="E6" s="311" t="s">
        <v>263</v>
      </c>
      <c r="F6" s="251"/>
      <c r="G6" s="303">
        <v>2026</v>
      </c>
      <c r="H6" s="312">
        <v>52374</v>
      </c>
      <c r="I6" s="249">
        <f>I2*H6</f>
        <v>1047480000</v>
      </c>
      <c r="J6" s="249">
        <f>J2*H6</f>
        <v>2618700000</v>
      </c>
    </row>
    <row r="7" spans="1:10" ht="26.45" customHeight="1" thickBot="1">
      <c r="B7" s="306" t="s">
        <v>264</v>
      </c>
      <c r="C7" s="313" t="s">
        <v>265</v>
      </c>
      <c r="D7" s="308">
        <v>0.03</v>
      </c>
      <c r="E7" s="311" t="s">
        <v>266</v>
      </c>
      <c r="F7" s="251"/>
      <c r="G7" s="251"/>
      <c r="H7" s="251"/>
      <c r="I7" s="251"/>
      <c r="J7" s="251"/>
    </row>
    <row r="8" spans="1:10" ht="16.5" thickBot="1">
      <c r="B8" s="252"/>
      <c r="C8" s="252"/>
      <c r="D8" s="253"/>
      <c r="E8" s="254"/>
    </row>
    <row r="9" spans="1:10" ht="16.5" thickBot="1">
      <c r="B9" s="559" t="s">
        <v>364</v>
      </c>
      <c r="C9" s="560"/>
      <c r="D9" s="560"/>
      <c r="E9" s="560"/>
      <c r="F9" s="255" t="s">
        <v>254</v>
      </c>
    </row>
    <row r="10" spans="1:10" ht="16.5" thickBot="1">
      <c r="B10" s="276">
        <v>1</v>
      </c>
      <c r="C10" s="277" t="s">
        <v>365</v>
      </c>
      <c r="D10" s="256">
        <v>1200000000</v>
      </c>
      <c r="E10" s="314">
        <f>IF(D11&gt;50000,(((D11-50000)*3%+450)*VLOOKUP(F10,G3:J6,2,FALSE)),IF(D11&gt;20000,((D11-20000)*1.5%)*(VLOOKUP(F10,G3:J6,2,FALSE)),0))</f>
        <v>3880500.0000000009</v>
      </c>
      <c r="F10" s="257">
        <v>2024</v>
      </c>
      <c r="G10" s="566" t="s">
        <v>366</v>
      </c>
      <c r="H10" s="566"/>
      <c r="I10" s="566"/>
      <c r="J10" s="566"/>
    </row>
    <row r="11" spans="1:10" ht="103.15" customHeight="1">
      <c r="B11" s="278">
        <v>2</v>
      </c>
      <c r="C11" s="279" t="s">
        <v>269</v>
      </c>
      <c r="D11" s="280">
        <f>D10/(VLOOKUP(F10,G3:J6,2,FALSE))</f>
        <v>25496.653564219698</v>
      </c>
      <c r="E11" s="315" t="s">
        <v>270</v>
      </c>
      <c r="G11" s="567"/>
      <c r="H11" s="567"/>
      <c r="I11" s="567"/>
      <c r="J11" s="567"/>
    </row>
    <row r="12" spans="1:10" ht="97.9" hidden="1" customHeight="1">
      <c r="B12" s="278" t="s">
        <v>271</v>
      </c>
      <c r="C12" s="279" t="s">
        <v>272</v>
      </c>
      <c r="D12" s="280">
        <f>D11-I2</f>
        <v>5496.6535642196977</v>
      </c>
      <c r="E12" s="281">
        <f>D11-J2</f>
        <v>-24503.346435780302</v>
      </c>
    </row>
    <row r="13" spans="1:10" ht="55.9" hidden="1" customHeight="1" thickBot="1">
      <c r="B13" s="278" t="s">
        <v>273</v>
      </c>
      <c r="C13" s="279" t="s">
        <v>274</v>
      </c>
      <c r="D13" s="282">
        <f>D12*D6</f>
        <v>82.449803463295467</v>
      </c>
      <c r="E13" s="283">
        <f>(E12*D7)+450</f>
        <v>-285.10039307340901</v>
      </c>
    </row>
    <row r="14" spans="1:10" ht="32.25" hidden="1" thickBot="1">
      <c r="B14" s="284" t="s">
        <v>275</v>
      </c>
      <c r="C14" s="285" t="s">
        <v>276</v>
      </c>
      <c r="D14" s="286" t="s">
        <v>277</v>
      </c>
      <c r="E14" s="287">
        <f>D13*((VLOOKUP(F10,G3:J5,2,FALSE)))</f>
        <v>3880500.0000000009</v>
      </c>
      <c r="F14" s="258"/>
      <c r="G14" s="259">
        <f>E13*((VLOOKUP(F10,G3:J5,2,FALSE)))</f>
        <v>-13418249.999999994</v>
      </c>
    </row>
    <row r="15" spans="1:10" hidden="1"/>
    <row r="16" spans="1:10" ht="16.5" hidden="1" thickBot="1">
      <c r="B16" s="551" t="s">
        <v>278</v>
      </c>
      <c r="C16" s="552"/>
      <c r="D16" s="552"/>
      <c r="E16" s="553"/>
      <c r="F16" s="260" t="s">
        <v>254</v>
      </c>
    </row>
    <row r="17" spans="2:9" ht="16.5" hidden="1" thickBot="1">
      <c r="B17" s="288" t="s">
        <v>278</v>
      </c>
      <c r="C17" s="289" t="s">
        <v>267</v>
      </c>
      <c r="D17" s="261">
        <v>5000000000</v>
      </c>
      <c r="E17" s="262" t="s">
        <v>268</v>
      </c>
      <c r="F17" s="263">
        <v>2025</v>
      </c>
    </row>
    <row r="18" spans="2:9" hidden="1">
      <c r="B18" s="290" t="s">
        <v>279</v>
      </c>
      <c r="C18" s="291" t="s">
        <v>280</v>
      </c>
      <c r="D18" s="292">
        <f>D17/(VLOOKUP(F17,G3:J5,2,FALSE))</f>
        <v>100403.62256270206</v>
      </c>
      <c r="E18" s="293" t="s">
        <v>270</v>
      </c>
      <c r="F18" s="264"/>
      <c r="I18" s="250">
        <v>1988</v>
      </c>
    </row>
    <row r="19" spans="2:9" ht="47.25" hidden="1">
      <c r="B19" s="290" t="s">
        <v>281</v>
      </c>
      <c r="C19" s="291" t="s">
        <v>282</v>
      </c>
      <c r="D19" s="294">
        <f>D18-50000</f>
        <v>50403.622562702061</v>
      </c>
      <c r="E19" s="293" t="s">
        <v>270</v>
      </c>
      <c r="I19" s="250">
        <v>50</v>
      </c>
    </row>
    <row r="20" spans="2:9" hidden="1">
      <c r="B20" s="290" t="s">
        <v>283</v>
      </c>
      <c r="C20" s="291" t="s">
        <v>274</v>
      </c>
      <c r="D20" s="295">
        <f>D19*D7</f>
        <v>1512.1086768810617</v>
      </c>
      <c r="E20" s="293" t="s">
        <v>270</v>
      </c>
    </row>
    <row r="21" spans="2:9" ht="16.5" hidden="1" thickBot="1">
      <c r="B21" s="290" t="s">
        <v>275</v>
      </c>
      <c r="C21" s="291" t="s">
        <v>284</v>
      </c>
      <c r="D21" s="294">
        <f>D20+450</f>
        <v>1962.1086768810617</v>
      </c>
      <c r="E21" s="293" t="s">
        <v>270</v>
      </c>
      <c r="F21" s="264"/>
    </row>
    <row r="22" spans="2:9" ht="32.25" hidden="1" thickBot="1">
      <c r="B22" s="296" t="s">
        <v>285</v>
      </c>
      <c r="C22" s="297" t="s">
        <v>276</v>
      </c>
      <c r="D22" s="298" t="s">
        <v>277</v>
      </c>
      <c r="E22" s="299">
        <f>D21*((VLOOKUP(F17,G3:J5,2,FALSE)))</f>
        <v>97711049.999999985</v>
      </c>
      <c r="F22" s="258" t="str">
        <f>IF(E22&lt;0,"NO APLICA","APLICA")</f>
        <v>APLICA</v>
      </c>
      <c r="G22" s="259">
        <f>E22/2</f>
        <v>48855524.999999993</v>
      </c>
      <c r="H22" s="265">
        <f>G22/2</f>
        <v>24427762.499999996</v>
      </c>
      <c r="I22" s="264"/>
    </row>
    <row r="23" spans="2:9" ht="16.5" thickBot="1"/>
    <row r="24" spans="2:9" ht="16.5" thickBot="1">
      <c r="B24" s="563" t="s">
        <v>295</v>
      </c>
      <c r="C24" s="564"/>
      <c r="D24" s="564"/>
      <c r="E24" s="565"/>
      <c r="H24" s="265"/>
    </row>
    <row r="25" spans="2:9">
      <c r="B25" s="266" t="s">
        <v>296</v>
      </c>
      <c r="C25" s="267">
        <v>45709</v>
      </c>
      <c r="D25" s="268" t="s">
        <v>303</v>
      </c>
      <c r="E25" s="300">
        <v>4</v>
      </c>
    </row>
    <row r="26" spans="2:9" ht="31.5">
      <c r="B26" s="266" t="s">
        <v>297</v>
      </c>
      <c r="C26" s="561" t="s">
        <v>301</v>
      </c>
      <c r="D26" s="561"/>
      <c r="E26" s="562"/>
    </row>
    <row r="27" spans="2:9" ht="31.5">
      <c r="B27" s="266" t="s">
        <v>298</v>
      </c>
      <c r="C27" s="561" t="s">
        <v>302</v>
      </c>
      <c r="D27" s="561"/>
      <c r="E27" s="562"/>
    </row>
    <row r="28" spans="2:9">
      <c r="B28" s="266" t="s">
        <v>304</v>
      </c>
      <c r="C28" s="269">
        <f>6000*D28</f>
        <v>282390000</v>
      </c>
      <c r="D28" s="270">
        <f>(VLOOKUP(F10,G3:J5,2,FALSE))</f>
        <v>47065</v>
      </c>
      <c r="E28" s="271" t="str">
        <f>IF(E25/C28&gt;1,E25/C28,"NO APLICA")</f>
        <v>NO APLICA</v>
      </c>
    </row>
    <row r="29" spans="2:9" ht="16.5" thickBot="1">
      <c r="B29" s="272" t="s">
        <v>299</v>
      </c>
      <c r="C29" s="549">
        <v>0.01</v>
      </c>
      <c r="D29" s="549"/>
      <c r="E29" s="550"/>
    </row>
    <row r="30" spans="2:9" ht="32.25" thickBot="1">
      <c r="B30" s="273" t="s">
        <v>300</v>
      </c>
      <c r="C30" s="274" t="str">
        <f>IF(E28="NO APLICA", "0",C29*E25)</f>
        <v>0</v>
      </c>
      <c r="D30" s="275"/>
      <c r="E30" s="275"/>
    </row>
  </sheetData>
  <sheetProtection algorithmName="SHA-512" hashValue="nQ1YJsKXb4VfPjofyYrh+dx0zbLQGM9ov655nioE9lglNhdCfz68yrDJY9XnvdhHHd2v7bWJDAlvDIEhH57S3Q==" saltValue="7heNFSYrUrOZlSt10sX4Tw==" spinCount="100000" sheet="1" objects="1" scenarios="1"/>
  <mergeCells count="15">
    <mergeCell ref="C29:E29"/>
    <mergeCell ref="B16:E16"/>
    <mergeCell ref="B1:E1"/>
    <mergeCell ref="G1:G2"/>
    <mergeCell ref="B9:E9"/>
    <mergeCell ref="C26:E26"/>
    <mergeCell ref="C27:E27"/>
    <mergeCell ref="B24:E24"/>
    <mergeCell ref="G10:J11"/>
    <mergeCell ref="H1:H2"/>
    <mergeCell ref="I1:J1"/>
    <mergeCell ref="B3:C3"/>
    <mergeCell ref="D3:D4"/>
    <mergeCell ref="E3:E4"/>
    <mergeCell ref="B2:E2"/>
  </mergeCells>
  <pageMargins left="0.25" right="0.25"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S174"/>
  <sheetViews>
    <sheetView workbookViewId="0">
      <selection activeCell="D10" sqref="D10"/>
    </sheetView>
  </sheetViews>
  <sheetFormatPr baseColWidth="10" defaultColWidth="9.140625" defaultRowHeight="15.75"/>
  <cols>
    <col min="1" max="1" width="3.5703125" style="438" customWidth="1"/>
    <col min="2" max="2" width="15.28515625" style="437" bestFit="1" customWidth="1"/>
    <col min="3" max="3" width="29.140625" style="436" customWidth="1"/>
    <col min="4" max="4" width="22" style="436" customWidth="1"/>
    <col min="5" max="5" width="19" style="436" customWidth="1"/>
    <col min="6" max="6" width="11.28515625" style="438" bestFit="1" customWidth="1"/>
    <col min="7" max="7" width="32.85546875" style="438" bestFit="1" customWidth="1"/>
    <col min="8" max="8" width="20.7109375" style="438" customWidth="1"/>
    <col min="9" max="9" width="16.42578125" style="438" hidden="1" customWidth="1"/>
    <col min="10" max="10" width="32.5703125" style="438" bestFit="1" customWidth="1"/>
    <col min="11" max="11" width="13.140625" style="438" customWidth="1"/>
    <col min="12" max="12" width="3.5703125" style="438" customWidth="1"/>
    <col min="13" max="13" width="11.7109375" style="438" bestFit="1" customWidth="1"/>
    <col min="14" max="14" width="15" style="438" customWidth="1"/>
    <col min="15" max="15" width="17.28515625" style="438" customWidth="1"/>
    <col min="16" max="16" width="26.42578125" style="438" customWidth="1"/>
    <col min="17" max="17" width="9.140625" style="438"/>
    <col min="18" max="18" width="18" style="438" bestFit="1" customWidth="1"/>
    <col min="19" max="19" width="17.42578125" style="438" bestFit="1" customWidth="1"/>
    <col min="20" max="16384" width="9.140625" style="438"/>
  </cols>
  <sheetData>
    <row r="1" spans="1:13" ht="16.5" thickBot="1">
      <c r="A1" s="436"/>
      <c r="C1" s="437"/>
    </row>
    <row r="2" spans="1:13">
      <c r="A2" s="436"/>
      <c r="B2" s="611" t="s">
        <v>625</v>
      </c>
      <c r="C2" s="612"/>
      <c r="D2" s="612"/>
      <c r="E2" s="613"/>
      <c r="G2"/>
      <c r="H2"/>
      <c r="I2"/>
      <c r="J2"/>
      <c r="K2"/>
    </row>
    <row r="3" spans="1:13">
      <c r="A3" s="436"/>
      <c r="B3" s="648" t="s">
        <v>582</v>
      </c>
      <c r="C3" s="649"/>
      <c r="D3" s="649"/>
      <c r="E3" s="650"/>
      <c r="G3" s="642" t="s">
        <v>562</v>
      </c>
      <c r="H3" s="642"/>
      <c r="I3" s="642"/>
      <c r="J3" s="642"/>
      <c r="K3"/>
      <c r="M3" s="439"/>
    </row>
    <row r="4" spans="1:13" ht="16.5" thickBot="1">
      <c r="A4" s="436"/>
      <c r="B4" s="651"/>
      <c r="C4" s="652"/>
      <c r="D4" s="652"/>
      <c r="E4" s="653"/>
      <c r="G4" s="643" t="s">
        <v>559</v>
      </c>
      <c r="H4" s="643"/>
      <c r="I4" s="643"/>
      <c r="J4" s="643"/>
      <c r="K4"/>
    </row>
    <row r="5" spans="1:13" ht="16.5" thickBot="1">
      <c r="A5" s="436"/>
      <c r="C5" s="441"/>
      <c r="D5" s="441"/>
      <c r="E5" s="441"/>
      <c r="G5" s="643"/>
      <c r="H5" s="643"/>
      <c r="I5" s="643"/>
      <c r="J5" s="643"/>
      <c r="K5"/>
    </row>
    <row r="6" spans="1:13" ht="39.6" customHeight="1" thickBot="1">
      <c r="A6" s="436"/>
      <c r="B6" s="611" t="s">
        <v>578</v>
      </c>
      <c r="C6" s="612"/>
      <c r="D6" s="612"/>
      <c r="E6" s="613"/>
      <c r="F6" s="512" t="s">
        <v>254</v>
      </c>
      <c r="G6" s="585" t="s">
        <v>558</v>
      </c>
      <c r="H6" s="510" t="s">
        <v>605</v>
      </c>
      <c r="I6" s="510"/>
      <c r="J6" s="511" t="e">
        <f ca="1">IF(E13&gt;=VLOOKUP($F$7,'Hoja de control'!A2:BH7,31,FALSE),E13-VLOOKUP($F$7,'Hoja de control'!A2:BH7,31,FALSE),"No genera aporte especial")</f>
        <v>#NAME?</v>
      </c>
      <c r="K6"/>
    </row>
    <row r="7" spans="1:13" ht="16.5" thickBot="1">
      <c r="A7" s="436"/>
      <c r="B7" s="656" t="s">
        <v>576</v>
      </c>
      <c r="C7" s="654" t="s">
        <v>402</v>
      </c>
      <c r="D7" s="655"/>
      <c r="E7" s="476"/>
      <c r="F7" s="513">
        <v>2024</v>
      </c>
      <c r="G7" s="586"/>
      <c r="H7" s="510" t="s">
        <v>606</v>
      </c>
      <c r="I7" s="510"/>
      <c r="J7" s="511" t="e">
        <f ca="1">IF(E18&gt;=VLOOKUP($F$7,'Hoja de control'!A2:BH7,31,FALSE),E18-VLOOKUP($F$7,'Hoja de control'!A2:BH7,31,FALSE),"No genera aporte especial")</f>
        <v>#NAME?</v>
      </c>
      <c r="K7"/>
    </row>
    <row r="8" spans="1:13" ht="39" customHeight="1" thickBot="1">
      <c r="A8" s="436"/>
      <c r="B8" s="657"/>
      <c r="C8" s="483" t="s">
        <v>563</v>
      </c>
      <c r="D8" s="637">
        <f>VLOOKUP($F$7,'Hoja de control'!A2:BH7,2,FALSE)</f>
        <v>5000</v>
      </c>
      <c r="E8" s="638"/>
      <c r="F8"/>
      <c r="G8" s="585" t="s">
        <v>551</v>
      </c>
      <c r="H8" s="510" t="s">
        <v>605</v>
      </c>
      <c r="I8" s="510"/>
      <c r="J8" s="511" t="e">
        <f ca="1">IF(E13&gt;=VLOOKUP($F$7,'Hoja de control'!A2:BH7,32,FALSE),E13-VLOOKUP($F$7,'Hoja de control'!A2:BH7,32,FALSE),"No genera aporte especial")</f>
        <v>#NAME?</v>
      </c>
      <c r="K8"/>
    </row>
    <row r="9" spans="1:13" ht="16.5" thickBot="1">
      <c r="A9" s="436"/>
      <c r="B9" s="658" t="s">
        <v>573</v>
      </c>
      <c r="C9" s="659"/>
      <c r="D9" s="659"/>
      <c r="E9" s="660"/>
      <c r="F9"/>
      <c r="G9" s="586"/>
      <c r="H9" s="510" t="s">
        <v>606</v>
      </c>
      <c r="I9" s="510"/>
      <c r="J9" s="511" t="e">
        <f ca="1">IF(E18&gt;=VLOOKUP($F$7,'Hoja de control'!A2:BH7,32,FALSE),E18-VLOOKUP($F$7,'Hoja de control'!A2:BH7,32,FALSE),"No genera aporte especial")</f>
        <v>#NAME?</v>
      </c>
      <c r="K9"/>
    </row>
    <row r="10" spans="1:13">
      <c r="A10" s="436"/>
      <c r="B10" s="656" t="s">
        <v>571</v>
      </c>
      <c r="C10" s="477" t="s">
        <v>570</v>
      </c>
      <c r="D10" s="478">
        <f>VLOOKUP($F$7,'Hoja de control'!A2:BH7,3,FALSE)</f>
        <v>3800</v>
      </c>
      <c r="E10" s="479">
        <f>VLOOKUP($F$7,'Hoja de control'!A2:BH7,4,FALSE)</f>
        <v>2300</v>
      </c>
      <c r="F10"/>
      <c r="G10"/>
      <c r="H10"/>
      <c r="I10"/>
      <c r="J10"/>
      <c r="K10"/>
    </row>
    <row r="11" spans="1:13" ht="16.5" thickBot="1">
      <c r="A11" s="436"/>
      <c r="B11" s="661"/>
      <c r="C11" s="461" t="s">
        <v>104</v>
      </c>
      <c r="D11" s="644">
        <v>15000000</v>
      </c>
      <c r="E11" s="645"/>
      <c r="F11"/>
      <c r="K11"/>
    </row>
    <row r="12" spans="1:13" ht="16.5" thickBot="1">
      <c r="A12" s="436"/>
      <c r="B12" s="661"/>
      <c r="C12" s="460" t="s">
        <v>596</v>
      </c>
      <c r="D12" s="443">
        <f>D11-D10</f>
        <v>14996200</v>
      </c>
      <c r="E12" s="751">
        <f>(D12*3/1000)+E10</f>
        <v>47288.6</v>
      </c>
      <c r="F12"/>
      <c r="G12" s="486" t="s">
        <v>569</v>
      </c>
      <c r="H12" s="487">
        <v>0.01</v>
      </c>
      <c r="I12" s="488">
        <f>D11</f>
        <v>15000000</v>
      </c>
      <c r="J12" s="501">
        <f>H12*I12</f>
        <v>150000</v>
      </c>
      <c r="K12" s="438">
        <f>SUM(K8:K10)</f>
        <v>0</v>
      </c>
    </row>
    <row r="13" spans="1:13" ht="16.149999999999999" customHeight="1" thickBot="1">
      <c r="A13" s="436"/>
      <c r="B13" s="597"/>
      <c r="C13" s="662" t="s">
        <v>563</v>
      </c>
      <c r="D13" s="663"/>
      <c r="E13" s="445" t="e">
        <f ca="1">_xlfn.IFS(D11=D10,E10,D11&lt;D10,E10,D11&gt;D10,E12)</f>
        <v>#NAME?</v>
      </c>
      <c r="F13"/>
    </row>
    <row r="14" spans="1:13" ht="16.5" thickBot="1">
      <c r="A14" s="436"/>
      <c r="B14" s="593" t="s">
        <v>568</v>
      </c>
      <c r="C14" s="594"/>
      <c r="D14" s="594"/>
      <c r="E14" s="595"/>
      <c r="G14" s="580" t="s">
        <v>612</v>
      </c>
      <c r="H14" s="580"/>
      <c r="I14" s="580"/>
      <c r="J14" s="580"/>
    </row>
    <row r="15" spans="1:13" hidden="1">
      <c r="A15" s="436"/>
      <c r="B15" s="639" t="s">
        <v>567</v>
      </c>
      <c r="C15" s="446" t="s">
        <v>564</v>
      </c>
      <c r="D15" s="447">
        <f>VLOOKUP($F$7,'Hoja de control'!A2:BH7,7,FALSE)</f>
        <v>4700</v>
      </c>
      <c r="E15" s="448">
        <f>D8</f>
        <v>5000</v>
      </c>
      <c r="G15" s="504"/>
      <c r="H15" s="504"/>
      <c r="I15" s="504"/>
      <c r="J15" s="504"/>
    </row>
    <row r="16" spans="1:13" ht="16.5" thickBot="1">
      <c r="A16" s="436"/>
      <c r="B16" s="639"/>
      <c r="C16" s="482" t="s">
        <v>104</v>
      </c>
      <c r="D16" s="646">
        <v>60000000</v>
      </c>
      <c r="E16" s="647"/>
      <c r="G16" s="582" t="s">
        <v>614</v>
      </c>
      <c r="H16" s="582"/>
      <c r="I16" s="504" t="s">
        <v>280</v>
      </c>
      <c r="J16" s="504" t="s">
        <v>613</v>
      </c>
    </row>
    <row r="17" spans="1:19" ht="16.149999999999999" hidden="1" customHeight="1" thickBot="1">
      <c r="A17" s="436"/>
      <c r="B17" s="639"/>
      <c r="C17" s="449" t="s">
        <v>596</v>
      </c>
      <c r="D17" s="450">
        <f>D16-D15</f>
        <v>59995300</v>
      </c>
      <c r="E17" s="451">
        <f>(D17*3.5/1000)+E15</f>
        <v>214983.55</v>
      </c>
      <c r="F17" s="475"/>
      <c r="G17" s="503"/>
      <c r="H17" s="503"/>
      <c r="I17" s="503"/>
      <c r="J17" s="503"/>
    </row>
    <row r="18" spans="1:19" ht="29.45" customHeight="1" thickBot="1">
      <c r="A18" s="436"/>
      <c r="B18" s="639"/>
      <c r="C18" s="640" t="s">
        <v>563</v>
      </c>
      <c r="D18" s="641"/>
      <c r="E18" s="484" t="e">
        <f ca="1">_xlfn.IFS(D16=D15,E15,D16&lt;D15,E15,D16&gt;D15,E17)</f>
        <v>#NAME?</v>
      </c>
      <c r="F18" s="475"/>
      <c r="G18" s="581" t="s">
        <v>617</v>
      </c>
      <c r="H18" s="514" t="s">
        <v>618</v>
      </c>
      <c r="I18" s="515" t="e">
        <f>(D11-H20)/VLOOKUP($F$7,'Hoja de control'!A2:BH7,37,FALSE)</f>
        <v>#DIV/0!</v>
      </c>
      <c r="J18" s="516" t="e">
        <f ca="1">IF(I22&gt;500000,(((I22-50000)*3%+450)*VLOOKUP($F$7,'Hoja de control'!A2:BH7,37,FALSE)),IF(I22&gt;20000,((I22-20000)*1.5%)*(VLOOKUP($F$7,'Hoja de control'!A2:BH7,37,FALSE)),0))</f>
        <v>#NAME?</v>
      </c>
    </row>
    <row r="19" spans="1:19" ht="17.25" customHeight="1" thickBot="1">
      <c r="A19" s="436"/>
      <c r="B19" s="485" t="s">
        <v>561</v>
      </c>
      <c r="C19" s="633" t="s">
        <v>560</v>
      </c>
      <c r="D19" s="633"/>
      <c r="E19" s="490">
        <f>VLOOKUP($F$7,'Hoja de control'!A2:BH7,9,FALSE)</f>
        <v>2600</v>
      </c>
      <c r="G19" s="581"/>
      <c r="H19" s="514" t="s">
        <v>619</v>
      </c>
      <c r="I19" s="515" t="e">
        <f>(D16-H21)/VLOOKUP($F$7,'Hoja de control'!A2:BH7,37,FALSE)</f>
        <v>#DIV/0!</v>
      </c>
      <c r="J19" s="516" t="e">
        <f ca="1">IF(I23&gt;500000,(((I23-50000)*3%+450)*VLOOKUP($F$7,'Hoja de control'!A2:BH7,37,FALSE)),IF(I23&gt;20000,((I23-20000)*1.5%)*(VLOOKUP($F$7,'Hoja de control'!A2:BH7,37,FALSE)),0))</f>
        <v>#NAME?</v>
      </c>
    </row>
    <row r="20" spans="1:19" ht="17.25" customHeight="1">
      <c r="A20" s="436"/>
      <c r="B20" s="505"/>
      <c r="C20" s="506"/>
      <c r="D20" s="506"/>
      <c r="E20" s="507"/>
      <c r="G20" s="514" t="s">
        <v>615</v>
      </c>
      <c r="H20" s="509">
        <v>0</v>
      </c>
    </row>
    <row r="21" spans="1:19" ht="17.25" customHeight="1" thickBot="1">
      <c r="A21" s="436"/>
      <c r="G21" s="514" t="s">
        <v>616</v>
      </c>
      <c r="H21" s="509">
        <v>0</v>
      </c>
      <c r="I21" s="440"/>
      <c r="J21" s="440"/>
      <c r="K21" s="475"/>
    </row>
    <row r="22" spans="1:19" ht="15.6" customHeight="1" thickBot="1">
      <c r="A22" s="436"/>
      <c r="B22" s="611" t="s">
        <v>557</v>
      </c>
      <c r="C22" s="612"/>
      <c r="D22" s="612"/>
      <c r="E22" s="613"/>
      <c r="G22" s="583" t="b">
        <v>1</v>
      </c>
      <c r="H22" s="584"/>
      <c r="I22" s="508" t="e">
        <f ca="1">(_xlfn.IFS(G22&amp;G23=TRUE,I18/4,OR(G22,G23)=TRUE,I18/2,G22=FALSE&amp;G23=FALSE,I18))</f>
        <v>#NAME?</v>
      </c>
      <c r="J22"/>
    </row>
    <row r="23" spans="1:19" ht="40.5" customHeight="1" thickBot="1">
      <c r="A23" s="436"/>
      <c r="B23" s="485" t="s">
        <v>556</v>
      </c>
      <c r="C23" s="633" t="s">
        <v>555</v>
      </c>
      <c r="D23" s="633"/>
      <c r="E23" s="490">
        <f>D8</f>
        <v>5000</v>
      </c>
      <c r="G23" s="583" t="b">
        <v>1</v>
      </c>
      <c r="H23" s="584"/>
      <c r="I23" s="508" t="e">
        <f ca="1">(_xlfn.IFS(G22&amp;G23=TRUE,I19/4,OR(G22,G23)=TRUE,I19/2,G22=FALSE&amp;G23=FALSE,I19))</f>
        <v>#NAME?</v>
      </c>
      <c r="J23"/>
      <c r="K23" s="455" t="s">
        <v>545</v>
      </c>
    </row>
    <row r="24" spans="1:19" ht="17.25" customHeight="1" thickBot="1">
      <c r="A24" s="436"/>
      <c r="J24" s="502"/>
      <c r="K24" s="456" t="s">
        <v>553</v>
      </c>
    </row>
    <row r="25" spans="1:19" ht="17.25" customHeight="1" thickBot="1">
      <c r="A25" s="436"/>
      <c r="B25" s="611" t="s">
        <v>552</v>
      </c>
      <c r="C25" s="612"/>
      <c r="D25" s="612"/>
      <c r="E25" s="613"/>
    </row>
    <row r="26" spans="1:19" ht="39.75" customHeight="1">
      <c r="A26" s="436"/>
      <c r="B26" s="493" t="s">
        <v>550</v>
      </c>
      <c r="C26" s="634" t="s">
        <v>549</v>
      </c>
      <c r="D26" s="634"/>
      <c r="E26" s="495">
        <f>VLOOKUP($F$7,'Hoja de control'!A2:BH7,10,FALSE)</f>
        <v>2600</v>
      </c>
    </row>
    <row r="27" spans="1:19" ht="43.5" customHeight="1" thickBot="1">
      <c r="A27" s="436"/>
      <c r="B27" s="494" t="s">
        <v>548</v>
      </c>
      <c r="C27" s="635" t="s">
        <v>547</v>
      </c>
      <c r="D27" s="635"/>
      <c r="E27" s="496">
        <f>VLOOKUP($F$7,'Hoja de control'!A2:BH7,11,FALSE)</f>
        <v>2600</v>
      </c>
      <c r="K27" s="455" t="s">
        <v>545</v>
      </c>
    </row>
    <row r="28" spans="1:19" ht="24.75" customHeight="1" thickBot="1">
      <c r="A28" s="436"/>
      <c r="K28" s="456" t="s">
        <v>544</v>
      </c>
      <c r="P28" s="1"/>
      <c r="Q28" s="1"/>
      <c r="R28" s="1"/>
      <c r="S28" s="1"/>
    </row>
    <row r="29" spans="1:19">
      <c r="A29" s="436"/>
      <c r="B29" s="611" t="s">
        <v>543</v>
      </c>
      <c r="C29" s="612"/>
      <c r="D29" s="612"/>
      <c r="E29" s="613"/>
    </row>
    <row r="30" spans="1:19" ht="60.75" customHeight="1">
      <c r="A30" s="436"/>
      <c r="B30" s="636" t="s">
        <v>542</v>
      </c>
      <c r="C30" s="630" t="s">
        <v>541</v>
      </c>
      <c r="D30" s="630"/>
      <c r="E30" s="500">
        <f>VLOOKUP($F$7,'Hoja de control'!A2:BH7,12,FALSE)</f>
        <v>2600</v>
      </c>
    </row>
    <row r="31" spans="1:19" ht="89.25" customHeight="1">
      <c r="A31" s="436"/>
      <c r="B31" s="636"/>
      <c r="C31" s="630" t="s">
        <v>540</v>
      </c>
      <c r="D31" s="630"/>
      <c r="E31" s="500">
        <f>VLOOKUP($F$7,'Hoja de control'!A2:BH7,13,FALSE)</f>
        <v>2600</v>
      </c>
    </row>
    <row r="32" spans="1:19" ht="44.25" customHeight="1">
      <c r="A32" s="436"/>
      <c r="B32" s="492" t="s">
        <v>539</v>
      </c>
      <c r="C32" s="630" t="s">
        <v>538</v>
      </c>
      <c r="D32" s="630"/>
      <c r="E32" s="500">
        <f>VLOOKUP($F$7,'Hoja de control'!A2:BH7,14,FALSE)</f>
        <v>4400</v>
      </c>
    </row>
    <row r="33" spans="1:5" ht="16.5" thickBot="1">
      <c r="A33" s="436"/>
    </row>
    <row r="34" spans="1:5" ht="16.5" thickBot="1">
      <c r="A34" s="436"/>
      <c r="B34" s="611" t="s">
        <v>537</v>
      </c>
      <c r="C34" s="612"/>
      <c r="D34" s="612"/>
      <c r="E34" s="613"/>
    </row>
    <row r="35" spans="1:5" ht="92.45" customHeight="1">
      <c r="A35" s="436"/>
      <c r="B35" s="596" t="s">
        <v>536</v>
      </c>
      <c r="C35" s="631" t="s">
        <v>535</v>
      </c>
      <c r="D35" s="631"/>
      <c r="E35" s="497">
        <f>VLOOKUP($F$7,'Hoja de control'!A2:BH7,15,FALSE)</f>
        <v>9400</v>
      </c>
    </row>
    <row r="36" spans="1:5" ht="52.5" customHeight="1" thickBot="1">
      <c r="A36" s="436"/>
      <c r="B36" s="597"/>
      <c r="C36" s="624" t="s">
        <v>534</v>
      </c>
      <c r="D36" s="624"/>
      <c r="E36" s="498">
        <f>VLOOKUP($F$7,'Hoja de control'!A2:BH7,16,FALSE)</f>
        <v>9400</v>
      </c>
    </row>
    <row r="37" spans="1:5" ht="69.75" customHeight="1" thickBot="1">
      <c r="A37" s="436"/>
      <c r="B37" s="491" t="s">
        <v>533</v>
      </c>
      <c r="C37" s="617" t="s">
        <v>532</v>
      </c>
      <c r="D37" s="618"/>
      <c r="E37" s="498">
        <f>VLOOKUP($F$7,'Hoja de control'!A2:BH7,17,FALSE)</f>
        <v>18000</v>
      </c>
    </row>
    <row r="38" spans="1:5">
      <c r="A38" s="436"/>
      <c r="B38" s="596" t="s">
        <v>531</v>
      </c>
      <c r="C38" s="598" t="s">
        <v>530</v>
      </c>
      <c r="D38" s="599"/>
      <c r="E38" s="527">
        <f>VLOOKUP($F$7,'Hoja de control'!A2:BH7,18,FALSE)</f>
        <v>135500</v>
      </c>
    </row>
    <row r="39" spans="1:5" ht="16.5" thickBot="1">
      <c r="B39" s="620"/>
      <c r="C39" s="626" t="s">
        <v>529</v>
      </c>
      <c r="D39" s="632"/>
      <c r="E39" s="528">
        <f>VLOOKUP($F$7,'Hoja de control'!A2:BH7,18,FALSE)</f>
        <v>135500</v>
      </c>
    </row>
    <row r="40" spans="1:5" ht="29.25" customHeight="1" thickBot="1">
      <c r="B40" s="597"/>
      <c r="C40" s="603" t="s">
        <v>528</v>
      </c>
      <c r="D40" s="604"/>
      <c r="E40" s="527">
        <f>VLOOKUP($F$7,'Hoja de control'!A2:BH7,19,FALSE)</f>
        <v>18000</v>
      </c>
    </row>
    <row r="41" spans="1:5" ht="36" customHeight="1">
      <c r="B41" s="596" t="s">
        <v>527</v>
      </c>
      <c r="C41" s="598" t="s">
        <v>526</v>
      </c>
      <c r="D41" s="598"/>
      <c r="E41" s="625"/>
    </row>
    <row r="42" spans="1:5" ht="39" customHeight="1">
      <c r="B42" s="620"/>
      <c r="C42" s="626" t="s">
        <v>525</v>
      </c>
      <c r="D42" s="626"/>
      <c r="E42" s="528">
        <f>VLOOKUP($F$7,'Hoja de control'!A2:BH7,20,FALSE)</f>
        <v>9300</v>
      </c>
    </row>
    <row r="43" spans="1:5" ht="46.5" customHeight="1" thickBot="1">
      <c r="B43" s="597"/>
      <c r="C43" s="603" t="s">
        <v>524</v>
      </c>
      <c r="D43" s="603"/>
      <c r="E43" s="529">
        <f>VLOOKUP($F$7,'Hoja de control'!A2:BH7,21,FALSE)</f>
        <v>58600</v>
      </c>
    </row>
    <row r="44" spans="1:5" ht="16.5" thickBot="1"/>
    <row r="45" spans="1:5" ht="16.5" thickBot="1">
      <c r="B45" s="627" t="s">
        <v>523</v>
      </c>
      <c r="C45" s="628"/>
      <c r="D45" s="628"/>
      <c r="E45" s="629"/>
    </row>
    <row r="46" spans="1:5" ht="16.5" thickBot="1">
      <c r="B46" s="491" t="s">
        <v>522</v>
      </c>
      <c r="C46" s="618" t="s">
        <v>521</v>
      </c>
      <c r="D46" s="618"/>
      <c r="E46" s="499">
        <f>VLOOKUP($F$7,'Hoja de control'!A2:BH7,22,FALSE)</f>
        <v>158100</v>
      </c>
    </row>
    <row r="47" spans="1:5" ht="16.5" thickBot="1"/>
    <row r="48" spans="1:5" ht="16.5" thickBot="1">
      <c r="B48" s="589" t="s">
        <v>520</v>
      </c>
      <c r="C48" s="590"/>
      <c r="D48" s="590"/>
      <c r="E48" s="591"/>
    </row>
    <row r="49" spans="2:5" ht="52.15" customHeight="1" thickBot="1">
      <c r="B49" s="491" t="s">
        <v>519</v>
      </c>
      <c r="C49" s="617" t="s">
        <v>518</v>
      </c>
      <c r="D49" s="617"/>
      <c r="E49" s="499">
        <f>VLOOKUP($F$7,'Hoja de control'!A2:BH7,23,FALSE)</f>
        <v>18000</v>
      </c>
    </row>
    <row r="50" spans="2:5" ht="16.5" thickBot="1"/>
    <row r="51" spans="2:5" ht="16.5" thickBot="1">
      <c r="B51" s="589" t="s">
        <v>517</v>
      </c>
      <c r="C51" s="590"/>
      <c r="D51" s="590"/>
      <c r="E51" s="591"/>
    </row>
    <row r="52" spans="2:5" ht="43.15" customHeight="1" thickBot="1">
      <c r="B52" s="491" t="s">
        <v>516</v>
      </c>
      <c r="C52" s="617" t="s">
        <v>515</v>
      </c>
      <c r="D52" s="618"/>
      <c r="E52" s="519"/>
    </row>
    <row r="53" spans="2:5" ht="16.5" thickBot="1"/>
    <row r="54" spans="2:5" ht="16.5" thickBot="1">
      <c r="B54" s="589" t="s">
        <v>514</v>
      </c>
      <c r="C54" s="590"/>
      <c r="D54" s="590"/>
      <c r="E54" s="591"/>
    </row>
    <row r="55" spans="2:5" ht="48.75" customHeight="1" thickBot="1">
      <c r="B55" s="491" t="s">
        <v>513</v>
      </c>
      <c r="C55" s="617" t="s">
        <v>512</v>
      </c>
      <c r="D55" s="618"/>
      <c r="E55" s="519"/>
    </row>
    <row r="56" spans="2:5" ht="16.5" thickBot="1"/>
    <row r="57" spans="2:5" ht="16.5" thickBot="1">
      <c r="B57" s="589" t="s">
        <v>511</v>
      </c>
      <c r="C57" s="590"/>
      <c r="D57" s="590"/>
      <c r="E57" s="591"/>
    </row>
    <row r="58" spans="2:5" ht="32.25" customHeight="1">
      <c r="B58" s="620" t="s">
        <v>510</v>
      </c>
      <c r="C58" s="621" t="s">
        <v>509</v>
      </c>
      <c r="D58" s="622"/>
      <c r="E58" s="530">
        <f>VLOOKUP($F$7,'Hoja de control'!A2:BH7,24,FALSE)</f>
        <v>0</v>
      </c>
    </row>
    <row r="59" spans="2:5" ht="16.5" thickBot="1">
      <c r="B59" s="597"/>
      <c r="C59" s="623" t="s">
        <v>508</v>
      </c>
      <c r="D59" s="624"/>
      <c r="E59" s="498">
        <f>VLOOKUP($F$7,'Hoja de control'!A2:BH7,25,FALSE)</f>
        <v>0</v>
      </c>
    </row>
    <row r="60" spans="2:5" ht="16.5" thickBot="1"/>
    <row r="61" spans="2:5" ht="16.5" thickBot="1">
      <c r="B61" s="589" t="s">
        <v>507</v>
      </c>
      <c r="C61" s="590"/>
      <c r="D61" s="590"/>
      <c r="E61" s="591"/>
    </row>
    <row r="62" spans="2:5" ht="34.5" customHeight="1" thickBot="1">
      <c r="B62" s="491" t="s">
        <v>506</v>
      </c>
      <c r="C62" s="617" t="s">
        <v>505</v>
      </c>
      <c r="D62" s="617"/>
      <c r="E62" s="531" t="s">
        <v>474</v>
      </c>
    </row>
    <row r="63" spans="2:5" ht="16.5" thickBot="1">
      <c r="B63" s="577" t="s">
        <v>504</v>
      </c>
      <c r="C63" s="578"/>
      <c r="D63" s="578"/>
      <c r="E63" s="579"/>
    </row>
    <row r="64" spans="2:5" ht="16.5" thickBot="1"/>
    <row r="65" spans="2:5" ht="16.5" thickBot="1">
      <c r="B65" s="589" t="s">
        <v>503</v>
      </c>
      <c r="C65" s="590"/>
      <c r="D65" s="590"/>
      <c r="E65" s="591"/>
    </row>
    <row r="66" spans="2:5" ht="46.9" customHeight="1" thickBot="1">
      <c r="B66" s="491" t="s">
        <v>502</v>
      </c>
      <c r="C66" s="617" t="s">
        <v>501</v>
      </c>
      <c r="D66" s="617"/>
      <c r="E66" s="499">
        <f>D8</f>
        <v>5000</v>
      </c>
    </row>
    <row r="67" spans="2:5" ht="16.5" thickBot="1"/>
    <row r="68" spans="2:5" ht="16.5" thickBot="1">
      <c r="B68" s="589" t="s">
        <v>500</v>
      </c>
      <c r="C68" s="590"/>
      <c r="D68" s="590"/>
      <c r="E68" s="591"/>
    </row>
    <row r="69" spans="2:5" ht="39" customHeight="1" thickBot="1">
      <c r="B69" s="491" t="s">
        <v>499</v>
      </c>
      <c r="C69" s="617" t="s">
        <v>498</v>
      </c>
      <c r="D69" s="617"/>
      <c r="E69" s="519"/>
    </row>
    <row r="70" spans="2:5" ht="16.5" thickBot="1"/>
    <row r="71" spans="2:5" ht="16.5" thickBot="1">
      <c r="B71" s="589" t="s">
        <v>497</v>
      </c>
      <c r="C71" s="590"/>
      <c r="D71" s="590"/>
      <c r="E71" s="591"/>
    </row>
    <row r="72" spans="2:5" ht="16.5" thickBot="1">
      <c r="B72" s="491" t="s">
        <v>496</v>
      </c>
      <c r="C72" s="618" t="s">
        <v>495</v>
      </c>
      <c r="D72" s="618"/>
      <c r="E72" s="499">
        <f>VLOOKUP($F$7,'Hoja de control'!A2:BH7,26,FALSE)</f>
        <v>0</v>
      </c>
    </row>
    <row r="73" spans="2:5" ht="16.5" thickBot="1"/>
    <row r="74" spans="2:5" ht="16.5" thickBot="1">
      <c r="B74" s="589" t="s">
        <v>494</v>
      </c>
      <c r="C74" s="590"/>
      <c r="D74" s="590"/>
      <c r="E74" s="591"/>
    </row>
    <row r="75" spans="2:5" ht="45.75" customHeight="1" thickBot="1">
      <c r="B75" s="491" t="s">
        <v>493</v>
      </c>
      <c r="C75" s="592" t="s">
        <v>492</v>
      </c>
      <c r="D75" s="592"/>
      <c r="E75" s="619"/>
    </row>
    <row r="76" spans="2:5">
      <c r="B76" s="596" t="s">
        <v>491</v>
      </c>
      <c r="C76" s="599" t="s">
        <v>490</v>
      </c>
      <c r="D76" s="599"/>
      <c r="E76" s="524" t="s">
        <v>474</v>
      </c>
    </row>
    <row r="77" spans="2:5" ht="40.5" customHeight="1" thickBot="1">
      <c r="B77" s="597"/>
      <c r="C77" s="602" t="s">
        <v>489</v>
      </c>
      <c r="D77" s="616"/>
      <c r="E77" s="525"/>
    </row>
    <row r="78" spans="2:5">
      <c r="B78" s="596" t="s">
        <v>488</v>
      </c>
      <c r="C78" s="599" t="s">
        <v>487</v>
      </c>
      <c r="D78" s="599"/>
      <c r="E78" s="524" t="s">
        <v>474</v>
      </c>
    </row>
    <row r="79" spans="2:5" ht="27.75" customHeight="1" thickBot="1">
      <c r="B79" s="597"/>
      <c r="C79" s="602" t="s">
        <v>486</v>
      </c>
      <c r="D79" s="616"/>
      <c r="E79" s="526">
        <f>E8</f>
        <v>0</v>
      </c>
    </row>
    <row r="80" spans="2:5">
      <c r="B80" s="596" t="s">
        <v>485</v>
      </c>
      <c r="C80" s="599" t="s">
        <v>484</v>
      </c>
      <c r="D80" s="599"/>
      <c r="E80" s="524" t="s">
        <v>474</v>
      </c>
    </row>
    <row r="81" spans="2:5" ht="53.25" customHeight="1" thickBot="1">
      <c r="B81" s="597"/>
      <c r="C81" s="602" t="s">
        <v>483</v>
      </c>
      <c r="D81" s="616"/>
      <c r="E81" s="526"/>
    </row>
    <row r="82" spans="2:5">
      <c r="B82" s="596" t="s">
        <v>482</v>
      </c>
      <c r="C82" s="599" t="s">
        <v>481</v>
      </c>
      <c r="D82" s="599"/>
      <c r="E82" s="524" t="s">
        <v>474</v>
      </c>
    </row>
    <row r="83" spans="2:5" ht="16.5" thickBot="1">
      <c r="B83" s="597"/>
      <c r="C83" s="602" t="s">
        <v>480</v>
      </c>
      <c r="D83" s="616"/>
      <c r="E83" s="526">
        <f>E8</f>
        <v>0</v>
      </c>
    </row>
    <row r="84" spans="2:5">
      <c r="B84" s="596" t="s">
        <v>479</v>
      </c>
      <c r="C84" s="599" t="s">
        <v>478</v>
      </c>
      <c r="D84" s="599"/>
      <c r="E84" s="524" t="s">
        <v>474</v>
      </c>
    </row>
    <row r="85" spans="2:5" ht="39.75" customHeight="1" thickBot="1">
      <c r="B85" s="597"/>
      <c r="C85" s="602" t="s">
        <v>477</v>
      </c>
      <c r="D85" s="616"/>
      <c r="E85" s="526">
        <f>E8</f>
        <v>0</v>
      </c>
    </row>
    <row r="86" spans="2:5">
      <c r="B86" s="596" t="s">
        <v>476</v>
      </c>
      <c r="C86" s="599" t="s">
        <v>475</v>
      </c>
      <c r="D86" s="599"/>
      <c r="E86" s="524" t="s">
        <v>474</v>
      </c>
    </row>
    <row r="87" spans="2:5" ht="51.75" customHeight="1" thickBot="1">
      <c r="B87" s="597"/>
      <c r="C87" s="602" t="s">
        <v>473</v>
      </c>
      <c r="D87" s="602"/>
      <c r="E87" s="525"/>
    </row>
    <row r="88" spans="2:5" ht="16.5" thickBot="1"/>
    <row r="89" spans="2:5" ht="36" customHeight="1" thickBot="1">
      <c r="B89" s="593" t="s">
        <v>472</v>
      </c>
      <c r="C89" s="594"/>
      <c r="D89" s="594"/>
      <c r="E89" s="595"/>
    </row>
    <row r="90" spans="2:5" ht="45" customHeight="1">
      <c r="B90" s="596" t="s">
        <v>471</v>
      </c>
      <c r="C90" s="614" t="s">
        <v>470</v>
      </c>
      <c r="D90" s="614"/>
      <c r="E90" s="522"/>
    </row>
    <row r="91" spans="2:5" ht="64.5" customHeight="1" thickBot="1">
      <c r="B91" s="597"/>
      <c r="C91" s="602" t="s">
        <v>469</v>
      </c>
      <c r="D91" s="602"/>
      <c r="E91" s="523"/>
    </row>
    <row r="92" spans="2:5" ht="16.5" thickBot="1"/>
    <row r="93" spans="2:5" ht="16.5" thickBot="1">
      <c r="B93" s="589" t="s">
        <v>468</v>
      </c>
      <c r="C93" s="590"/>
      <c r="D93" s="590"/>
      <c r="E93" s="591"/>
    </row>
    <row r="94" spans="2:5" ht="50.25" customHeight="1">
      <c r="B94" s="596" t="s">
        <v>467</v>
      </c>
      <c r="C94" s="614" t="s">
        <v>466</v>
      </c>
      <c r="D94" s="614"/>
      <c r="E94" s="522"/>
    </row>
    <row r="95" spans="2:5" ht="50.25" customHeight="1" thickBot="1">
      <c r="B95" s="597"/>
      <c r="C95" s="602" t="s">
        <v>465</v>
      </c>
      <c r="D95" s="602"/>
      <c r="E95" s="523"/>
    </row>
    <row r="96" spans="2:5" ht="16.5" thickBot="1"/>
    <row r="97" spans="2:5" ht="16.5" thickBot="1">
      <c r="B97" s="589" t="s">
        <v>464</v>
      </c>
      <c r="C97" s="590"/>
      <c r="D97" s="590"/>
      <c r="E97" s="591"/>
    </row>
    <row r="98" spans="2:5" ht="42" customHeight="1" thickBot="1">
      <c r="B98" s="491" t="s">
        <v>463</v>
      </c>
      <c r="C98" s="592" t="s">
        <v>462</v>
      </c>
      <c r="D98" s="592"/>
      <c r="E98" s="519"/>
    </row>
    <row r="99" spans="2:5" ht="16.5" thickBot="1">
      <c r="C99" s="615"/>
      <c r="D99" s="615"/>
    </row>
    <row r="100" spans="2:5" ht="16.5" thickBot="1">
      <c r="B100" s="589" t="s">
        <v>461</v>
      </c>
      <c r="C100" s="590"/>
      <c r="D100" s="590"/>
      <c r="E100" s="591"/>
    </row>
    <row r="101" spans="2:5" ht="25.5" customHeight="1" thickBot="1">
      <c r="B101" s="491" t="s">
        <v>460</v>
      </c>
      <c r="C101" s="592" t="s">
        <v>459</v>
      </c>
      <c r="D101" s="592"/>
      <c r="E101" s="519"/>
    </row>
    <row r="102" spans="2:5" ht="16.5" thickBot="1"/>
    <row r="103" spans="2:5" ht="16.5" thickBot="1">
      <c r="B103" s="589" t="s">
        <v>458</v>
      </c>
      <c r="C103" s="590"/>
      <c r="D103" s="590"/>
      <c r="E103" s="591"/>
    </row>
    <row r="104" spans="2:5" ht="29.25" customHeight="1" thickBot="1">
      <c r="B104" s="491" t="s">
        <v>457</v>
      </c>
      <c r="C104" s="592" t="s">
        <v>456</v>
      </c>
      <c r="D104" s="592"/>
      <c r="E104" s="519"/>
    </row>
    <row r="105" spans="2:5" ht="16.5" thickBot="1"/>
    <row r="106" spans="2:5" ht="16.5" thickBot="1">
      <c r="B106" s="589" t="s">
        <v>455</v>
      </c>
      <c r="C106" s="590"/>
      <c r="D106" s="590"/>
      <c r="E106" s="591"/>
    </row>
    <row r="107" spans="2:5" ht="61.15" customHeight="1" thickBot="1">
      <c r="B107" s="491" t="s">
        <v>454</v>
      </c>
      <c r="C107" s="592" t="s">
        <v>453</v>
      </c>
      <c r="D107" s="592"/>
      <c r="E107" s="519"/>
    </row>
    <row r="108" spans="2:5" ht="16.5" thickBot="1"/>
    <row r="109" spans="2:5" ht="16.5" thickBot="1">
      <c r="B109" s="589" t="s">
        <v>452</v>
      </c>
      <c r="C109" s="590"/>
      <c r="D109" s="590"/>
      <c r="E109" s="591"/>
    </row>
    <row r="110" spans="2:5" ht="61.5" customHeight="1" thickBot="1">
      <c r="B110" s="491" t="s">
        <v>451</v>
      </c>
      <c r="C110" s="592" t="s">
        <v>450</v>
      </c>
      <c r="D110" s="592"/>
      <c r="E110" s="519"/>
    </row>
    <row r="111" spans="2:5" ht="16.5" thickBot="1"/>
    <row r="112" spans="2:5" ht="16.5" thickBot="1">
      <c r="B112" s="589" t="s">
        <v>449</v>
      </c>
      <c r="C112" s="590"/>
      <c r="D112" s="590"/>
      <c r="E112" s="591"/>
    </row>
    <row r="113" spans="2:5" ht="43.15" customHeight="1" thickBot="1">
      <c r="B113" s="491" t="s">
        <v>448</v>
      </c>
      <c r="C113" s="592" t="s">
        <v>447</v>
      </c>
      <c r="D113" s="592"/>
      <c r="E113" s="519"/>
    </row>
    <row r="114" spans="2:5" ht="16.5" thickBot="1"/>
    <row r="115" spans="2:5" ht="16.5" thickBot="1">
      <c r="B115" s="589" t="s">
        <v>446</v>
      </c>
      <c r="C115" s="590"/>
      <c r="D115" s="590"/>
      <c r="E115" s="591"/>
    </row>
    <row r="116" spans="2:5" ht="83.25" customHeight="1" thickBot="1">
      <c r="B116" s="491" t="s">
        <v>445</v>
      </c>
      <c r="C116" s="592" t="s">
        <v>444</v>
      </c>
      <c r="D116" s="592"/>
      <c r="E116" s="519"/>
    </row>
    <row r="117" spans="2:5" ht="16.5" thickBot="1"/>
    <row r="118" spans="2:5" ht="16.5" thickBot="1">
      <c r="B118" s="589" t="s">
        <v>443</v>
      </c>
      <c r="C118" s="590"/>
      <c r="D118" s="590"/>
      <c r="E118" s="591"/>
    </row>
    <row r="119" spans="2:5" ht="69" customHeight="1" thickBot="1">
      <c r="B119" s="491" t="s">
        <v>442</v>
      </c>
      <c r="C119" s="592" t="s">
        <v>441</v>
      </c>
      <c r="D119" s="592"/>
      <c r="E119" s="519"/>
    </row>
    <row r="120" spans="2:5" ht="16.5" thickBot="1"/>
    <row r="121" spans="2:5" ht="16.5" thickBot="1">
      <c r="B121" s="589" t="s">
        <v>440</v>
      </c>
      <c r="C121" s="590"/>
      <c r="D121" s="590"/>
      <c r="E121" s="591"/>
    </row>
    <row r="122" spans="2:5" ht="30" customHeight="1" thickBot="1">
      <c r="B122" s="491" t="s">
        <v>439</v>
      </c>
      <c r="C122" s="592" t="s">
        <v>438</v>
      </c>
      <c r="D122" s="592"/>
      <c r="E122" s="519"/>
    </row>
    <row r="123" spans="2:5" ht="16.5" thickBot="1"/>
    <row r="124" spans="2:5" ht="16.5" thickBot="1">
      <c r="B124" s="589" t="s">
        <v>437</v>
      </c>
      <c r="C124" s="590"/>
      <c r="D124" s="590"/>
      <c r="E124" s="591"/>
    </row>
    <row r="125" spans="2:5" ht="44.25" customHeight="1" thickBot="1">
      <c r="B125" s="491" t="s">
        <v>436</v>
      </c>
      <c r="C125" s="592" t="s">
        <v>435</v>
      </c>
      <c r="D125" s="592"/>
      <c r="E125" s="519"/>
    </row>
    <row r="126" spans="2:5" ht="16.5" thickBot="1"/>
    <row r="127" spans="2:5" ht="16.5" thickBot="1">
      <c r="B127" s="589" t="s">
        <v>434</v>
      </c>
      <c r="C127" s="590"/>
      <c r="D127" s="590"/>
      <c r="E127" s="591"/>
    </row>
    <row r="128" spans="2:5" ht="40.5" customHeight="1" thickBot="1">
      <c r="B128" s="491" t="s">
        <v>433</v>
      </c>
      <c r="C128" s="592" t="s">
        <v>432</v>
      </c>
      <c r="D128" s="592"/>
      <c r="E128" s="519"/>
    </row>
    <row r="129" spans="2:5" ht="16.5" thickBot="1"/>
    <row r="130" spans="2:5" ht="16.5" thickBot="1">
      <c r="B130" s="452" t="s">
        <v>431</v>
      </c>
      <c r="C130" s="590" t="s">
        <v>430</v>
      </c>
      <c r="D130" s="590"/>
      <c r="E130" s="591"/>
    </row>
    <row r="131" spans="2:5" ht="30.75" customHeight="1">
      <c r="B131" s="596" t="s">
        <v>429</v>
      </c>
      <c r="C131" s="598" t="s">
        <v>428</v>
      </c>
      <c r="D131" s="598"/>
      <c r="E131" s="600">
        <f>VLOOKUP($F$7,'Hoja de control'!A2:BH7,27,FALSE)</f>
        <v>0</v>
      </c>
    </row>
    <row r="132" spans="2:5" ht="16.5" thickBot="1">
      <c r="B132" s="597"/>
      <c r="C132" s="604" t="s">
        <v>425</v>
      </c>
      <c r="D132" s="604"/>
      <c r="E132" s="601"/>
    </row>
    <row r="133" spans="2:5" ht="27.75" customHeight="1">
      <c r="B133" s="596" t="s">
        <v>427</v>
      </c>
      <c r="C133" s="598" t="s">
        <v>426</v>
      </c>
      <c r="D133" s="598"/>
      <c r="E133" s="600">
        <f>VLOOKUP($F$7,'Hoja de control'!A2:BH7,28,FALSE)</f>
        <v>0</v>
      </c>
    </row>
    <row r="134" spans="2:5" ht="16.5" thickBot="1">
      <c r="B134" s="597"/>
      <c r="C134" s="604" t="s">
        <v>425</v>
      </c>
      <c r="D134" s="604"/>
      <c r="E134" s="601"/>
    </row>
    <row r="135" spans="2:5" ht="30" customHeight="1">
      <c r="B135" s="596" t="s">
        <v>424</v>
      </c>
      <c r="C135" s="598" t="s">
        <v>423</v>
      </c>
      <c r="D135" s="598"/>
      <c r="E135" s="600">
        <f>VLOOKUP($F$7,'Hoja de control'!A2:BH7,29,FALSE)</f>
        <v>0</v>
      </c>
    </row>
    <row r="136" spans="2:5" ht="47.25" customHeight="1" thickBot="1">
      <c r="B136" s="597"/>
      <c r="C136" s="603" t="s">
        <v>422</v>
      </c>
      <c r="D136" s="604"/>
      <c r="E136" s="601"/>
    </row>
    <row r="137" spans="2:5" ht="16.5" thickBot="1"/>
    <row r="138" spans="2:5">
      <c r="B138" s="611" t="s">
        <v>421</v>
      </c>
      <c r="C138" s="612"/>
      <c r="D138" s="612"/>
      <c r="E138" s="613"/>
    </row>
    <row r="139" spans="2:5" ht="31.5" customHeight="1" thickBot="1">
      <c r="B139" s="444" t="s">
        <v>420</v>
      </c>
      <c r="C139" s="602" t="s">
        <v>419</v>
      </c>
      <c r="D139" s="602"/>
      <c r="E139" s="520"/>
    </row>
    <row r="140" spans="2:5" ht="65.45" customHeight="1" thickBot="1">
      <c r="B140" s="491" t="s">
        <v>418</v>
      </c>
      <c r="C140" s="592" t="s">
        <v>417</v>
      </c>
      <c r="D140" s="610"/>
      <c r="E140" s="521"/>
    </row>
    <row r="141" spans="2:5" ht="66" customHeight="1" thickBot="1">
      <c r="B141" s="491" t="s">
        <v>416</v>
      </c>
      <c r="C141" s="592" t="s">
        <v>415</v>
      </c>
      <c r="D141" s="610"/>
      <c r="E141" s="521"/>
    </row>
    <row r="142" spans="2:5" ht="45.75" customHeight="1" thickBot="1">
      <c r="B142" s="491" t="s">
        <v>414</v>
      </c>
      <c r="C142" s="592" t="s">
        <v>413</v>
      </c>
      <c r="D142" s="610"/>
      <c r="E142" s="499">
        <f>VLOOKUP($F$7,'Hoja de control'!A2:BH7,33,FALSE)</f>
        <v>0</v>
      </c>
    </row>
    <row r="143" spans="2:5" ht="16.5" thickBot="1"/>
    <row r="144" spans="2:5" ht="16.5" thickBot="1">
      <c r="B144" s="589" t="s">
        <v>412</v>
      </c>
      <c r="C144" s="590"/>
      <c r="D144" s="590"/>
      <c r="E144" s="591"/>
    </row>
    <row r="145" spans="2:5" ht="66" customHeight="1" thickBot="1">
      <c r="B145" s="491" t="s">
        <v>411</v>
      </c>
      <c r="C145" s="592" t="s">
        <v>410</v>
      </c>
      <c r="D145" s="592"/>
      <c r="E145" s="519"/>
    </row>
    <row r="146" spans="2:5" ht="16.5" thickBot="1"/>
    <row r="147" spans="2:5" ht="27.75" customHeight="1" thickBot="1">
      <c r="B147" s="593" t="s">
        <v>409</v>
      </c>
      <c r="C147" s="594"/>
      <c r="D147" s="594"/>
      <c r="E147" s="595"/>
    </row>
    <row r="148" spans="2:5" ht="92.25" customHeight="1" thickBot="1">
      <c r="B148" s="491" t="s">
        <v>408</v>
      </c>
      <c r="C148" s="592" t="s">
        <v>407</v>
      </c>
      <c r="D148" s="592"/>
      <c r="E148" s="519"/>
    </row>
    <row r="149" spans="2:5" ht="16.5" thickBot="1"/>
    <row r="150" spans="2:5" ht="16.5" thickBot="1">
      <c r="B150" s="593" t="s">
        <v>406</v>
      </c>
      <c r="C150" s="594"/>
      <c r="D150" s="594"/>
      <c r="E150" s="595"/>
    </row>
    <row r="151" spans="2:5" ht="34.5" customHeight="1" thickBot="1">
      <c r="B151" s="491" t="s">
        <v>405</v>
      </c>
      <c r="C151" s="592" t="s">
        <v>404</v>
      </c>
      <c r="D151" s="592"/>
      <c r="E151" s="499">
        <f>VLOOKUP($F$7,'Hoja de control'!A2:BH7,30,FALSE)</f>
        <v>0</v>
      </c>
    </row>
    <row r="152" spans="2:5" ht="16.5" thickBot="1"/>
    <row r="153" spans="2:5" ht="16.5" thickBot="1">
      <c r="B153" s="452" t="s">
        <v>403</v>
      </c>
      <c r="C153" s="590" t="s">
        <v>402</v>
      </c>
      <c r="D153" s="590"/>
      <c r="E153" s="591"/>
    </row>
    <row r="154" spans="2:5">
      <c r="B154" s="596" t="s">
        <v>401</v>
      </c>
      <c r="C154" s="598" t="s">
        <v>400</v>
      </c>
      <c r="D154" s="599"/>
      <c r="E154" s="600">
        <f>$D$8</f>
        <v>5000</v>
      </c>
    </row>
    <row r="155" spans="2:5" ht="135" customHeight="1" thickBot="1">
      <c r="B155" s="597"/>
      <c r="C155" s="602" t="s">
        <v>399</v>
      </c>
      <c r="D155" s="602"/>
      <c r="E155" s="601"/>
    </row>
    <row r="156" spans="2:5" ht="42" customHeight="1" thickBot="1">
      <c r="B156" s="532" t="s">
        <v>398</v>
      </c>
      <c r="C156" s="592" t="s">
        <v>397</v>
      </c>
      <c r="D156" s="610"/>
      <c r="E156" s="499">
        <f t="shared" ref="E156:E162" si="0">$D$8</f>
        <v>5000</v>
      </c>
    </row>
    <row r="157" spans="2:5" ht="46.5" customHeight="1" thickBot="1">
      <c r="B157" s="532" t="s">
        <v>396</v>
      </c>
      <c r="C157" s="592" t="s">
        <v>395</v>
      </c>
      <c r="D157" s="610"/>
      <c r="E157" s="499">
        <f t="shared" si="0"/>
        <v>5000</v>
      </c>
    </row>
    <row r="158" spans="2:5" ht="54.75" customHeight="1" thickBot="1">
      <c r="B158" s="532" t="s">
        <v>394</v>
      </c>
      <c r="C158" s="592" t="s">
        <v>393</v>
      </c>
      <c r="D158" s="592"/>
      <c r="E158" s="499">
        <f t="shared" si="0"/>
        <v>5000</v>
      </c>
    </row>
    <row r="159" spans="2:5" ht="51.6" customHeight="1" thickBot="1">
      <c r="B159" s="532" t="s">
        <v>392</v>
      </c>
      <c r="C159" s="592" t="s">
        <v>391</v>
      </c>
      <c r="D159" s="610"/>
      <c r="E159" s="499">
        <f t="shared" si="0"/>
        <v>5000</v>
      </c>
    </row>
    <row r="160" spans="2:5" ht="29.25" customHeight="1" thickBot="1">
      <c r="B160" s="532" t="s">
        <v>390</v>
      </c>
      <c r="C160" s="592" t="s">
        <v>389</v>
      </c>
      <c r="D160" s="610"/>
      <c r="E160" s="499">
        <f t="shared" si="0"/>
        <v>5000</v>
      </c>
    </row>
    <row r="161" spans="2:5" ht="103.9" customHeight="1" thickBot="1">
      <c r="B161" s="532" t="s">
        <v>388</v>
      </c>
      <c r="C161" s="592" t="s">
        <v>387</v>
      </c>
      <c r="D161" s="592"/>
      <c r="E161" s="499">
        <f t="shared" si="0"/>
        <v>5000</v>
      </c>
    </row>
    <row r="162" spans="2:5" ht="235.9" customHeight="1" thickBot="1">
      <c r="B162" s="532" t="s">
        <v>386</v>
      </c>
      <c r="C162" s="592" t="s">
        <v>385</v>
      </c>
      <c r="D162" s="592"/>
      <c r="E162" s="499">
        <f t="shared" si="0"/>
        <v>5000</v>
      </c>
    </row>
    <row r="163" spans="2:5" ht="16.5" thickBot="1"/>
    <row r="164" spans="2:5" ht="16.5" thickBot="1">
      <c r="B164" s="593" t="s">
        <v>384</v>
      </c>
      <c r="C164" s="594"/>
      <c r="D164" s="594"/>
      <c r="E164" s="595"/>
    </row>
    <row r="165" spans="2:5">
      <c r="B165" s="605" t="s">
        <v>383</v>
      </c>
      <c r="C165" s="607" t="s">
        <v>382</v>
      </c>
      <c r="D165" s="607"/>
      <c r="E165" s="457">
        <v>58600</v>
      </c>
    </row>
    <row r="166" spans="2:5" ht="30" customHeight="1" thickBot="1">
      <c r="B166" s="606"/>
      <c r="C166" s="608" t="s">
        <v>381</v>
      </c>
      <c r="D166" s="608"/>
      <c r="E166" s="442">
        <v>10900</v>
      </c>
    </row>
    <row r="167" spans="2:5" ht="16.5" thickBot="1"/>
    <row r="168" spans="2:5" ht="29.25" customHeight="1" thickBot="1">
      <c r="B168" s="593" t="s">
        <v>380</v>
      </c>
      <c r="C168" s="594"/>
      <c r="D168" s="594"/>
      <c r="E168" s="595"/>
    </row>
    <row r="169" spans="2:5" ht="57" customHeight="1" thickBot="1">
      <c r="B169" s="453" t="s">
        <v>379</v>
      </c>
      <c r="C169" s="587" t="s">
        <v>378</v>
      </c>
      <c r="D169" s="587"/>
      <c r="E169" s="454">
        <v>9000</v>
      </c>
    </row>
    <row r="170" spans="2:5" ht="16.5" thickBot="1">
      <c r="B170" s="458"/>
      <c r="C170" s="609"/>
      <c r="D170" s="609"/>
      <c r="E170" s="459"/>
    </row>
    <row r="171" spans="2:5" ht="16.5" customHeight="1" thickBot="1">
      <c r="B171" s="593" t="s">
        <v>377</v>
      </c>
      <c r="C171" s="594"/>
      <c r="D171" s="594"/>
      <c r="E171" s="595"/>
    </row>
    <row r="172" spans="2:5" ht="40.5" customHeight="1" thickBot="1">
      <c r="B172" s="453" t="s">
        <v>376</v>
      </c>
      <c r="C172" s="587" t="s">
        <v>375</v>
      </c>
      <c r="D172" s="587"/>
      <c r="E172" s="588"/>
    </row>
    <row r="173" spans="2:5" ht="42.75" customHeight="1" thickBot="1">
      <c r="B173" s="453" t="s">
        <v>374</v>
      </c>
      <c r="C173" s="587" t="s">
        <v>373</v>
      </c>
      <c r="D173" s="587"/>
      <c r="E173" s="454">
        <v>9300</v>
      </c>
    </row>
    <row r="174" spans="2:5" ht="33" customHeight="1" thickBot="1">
      <c r="B174" s="453" t="s">
        <v>372</v>
      </c>
      <c r="C174" s="587" t="s">
        <v>371</v>
      </c>
      <c r="D174" s="587"/>
      <c r="E174" s="454">
        <v>2300</v>
      </c>
    </row>
  </sheetData>
  <mergeCells count="167">
    <mergeCell ref="B2:E2"/>
    <mergeCell ref="B3:E3"/>
    <mergeCell ref="B4:E4"/>
    <mergeCell ref="B6:E6"/>
    <mergeCell ref="C7:D7"/>
    <mergeCell ref="B7:B8"/>
    <mergeCell ref="B9:E9"/>
    <mergeCell ref="B10:B13"/>
    <mergeCell ref="C13:D13"/>
    <mergeCell ref="B14:E14"/>
    <mergeCell ref="D8:E8"/>
    <mergeCell ref="B15:B18"/>
    <mergeCell ref="C18:D18"/>
    <mergeCell ref="C19:D19"/>
    <mergeCell ref="G3:J3"/>
    <mergeCell ref="G4:J5"/>
    <mergeCell ref="D11:E11"/>
    <mergeCell ref="D16:E16"/>
    <mergeCell ref="B22:E22"/>
    <mergeCell ref="C23:D23"/>
    <mergeCell ref="B25:E25"/>
    <mergeCell ref="C26:D26"/>
    <mergeCell ref="C27:D27"/>
    <mergeCell ref="B29:E29"/>
    <mergeCell ref="B30:B31"/>
    <mergeCell ref="C30:D30"/>
    <mergeCell ref="C31:D31"/>
    <mergeCell ref="C32:D32"/>
    <mergeCell ref="B34:E34"/>
    <mergeCell ref="B35:B36"/>
    <mergeCell ref="C35:D35"/>
    <mergeCell ref="C36:D36"/>
    <mergeCell ref="C37:D37"/>
    <mergeCell ref="B38:B40"/>
    <mergeCell ref="C38:D38"/>
    <mergeCell ref="C39:D39"/>
    <mergeCell ref="C40:D40"/>
    <mergeCell ref="B41:B43"/>
    <mergeCell ref="C41:E41"/>
    <mergeCell ref="C42:D42"/>
    <mergeCell ref="C43:D43"/>
    <mergeCell ref="B45:E45"/>
    <mergeCell ref="C46:D46"/>
    <mergeCell ref="B48:E48"/>
    <mergeCell ref="C49:D49"/>
    <mergeCell ref="B51:E51"/>
    <mergeCell ref="C52:D52"/>
    <mergeCell ref="B54:E54"/>
    <mergeCell ref="C55:D55"/>
    <mergeCell ref="B57:E57"/>
    <mergeCell ref="B58:B59"/>
    <mergeCell ref="C58:D58"/>
    <mergeCell ref="C59:D59"/>
    <mergeCell ref="B61:E61"/>
    <mergeCell ref="C62:D62"/>
    <mergeCell ref="B65:E65"/>
    <mergeCell ref="C66:D66"/>
    <mergeCell ref="B68:E68"/>
    <mergeCell ref="C69:D69"/>
    <mergeCell ref="B71:E71"/>
    <mergeCell ref="C72:D72"/>
    <mergeCell ref="B74:E74"/>
    <mergeCell ref="C75:E75"/>
    <mergeCell ref="B76:B77"/>
    <mergeCell ref="C76:D76"/>
    <mergeCell ref="C77:D77"/>
    <mergeCell ref="B78:B79"/>
    <mergeCell ref="C78:D78"/>
    <mergeCell ref="C79:D79"/>
    <mergeCell ref="B80:B81"/>
    <mergeCell ref="C80:D80"/>
    <mergeCell ref="C81:D81"/>
    <mergeCell ref="B82:B83"/>
    <mergeCell ref="C82:D82"/>
    <mergeCell ref="C83:D83"/>
    <mergeCell ref="B84:B85"/>
    <mergeCell ref="C84:D84"/>
    <mergeCell ref="C85:D85"/>
    <mergeCell ref="B86:B87"/>
    <mergeCell ref="C86:D86"/>
    <mergeCell ref="C87:D87"/>
    <mergeCell ref="B89:E89"/>
    <mergeCell ref="B90:B91"/>
    <mergeCell ref="C90:D90"/>
    <mergeCell ref="C91:D91"/>
    <mergeCell ref="B93:E93"/>
    <mergeCell ref="B94:B95"/>
    <mergeCell ref="C94:D94"/>
    <mergeCell ref="C95:D95"/>
    <mergeCell ref="B97:E97"/>
    <mergeCell ref="C98:D98"/>
    <mergeCell ref="C99:D99"/>
    <mergeCell ref="B100:E100"/>
    <mergeCell ref="C101:D101"/>
    <mergeCell ref="B103:E103"/>
    <mergeCell ref="C104:D104"/>
    <mergeCell ref="B106:E106"/>
    <mergeCell ref="C107:D107"/>
    <mergeCell ref="B109:E109"/>
    <mergeCell ref="C110:D110"/>
    <mergeCell ref="B112:E112"/>
    <mergeCell ref="C113:D113"/>
    <mergeCell ref="B115:E115"/>
    <mergeCell ref="C116:D116"/>
    <mergeCell ref="B118:E118"/>
    <mergeCell ref="C119:D119"/>
    <mergeCell ref="B121:E121"/>
    <mergeCell ref="C122:D122"/>
    <mergeCell ref="B124:E124"/>
    <mergeCell ref="C125:D125"/>
    <mergeCell ref="B127:E127"/>
    <mergeCell ref="C128:D128"/>
    <mergeCell ref="B138:E138"/>
    <mergeCell ref="C139:D139"/>
    <mergeCell ref="C140:D140"/>
    <mergeCell ref="C141:D141"/>
    <mergeCell ref="C142:D142"/>
    <mergeCell ref="C130:E130"/>
    <mergeCell ref="B131:B132"/>
    <mergeCell ref="C131:D131"/>
    <mergeCell ref="E131:E132"/>
    <mergeCell ref="C132:D132"/>
    <mergeCell ref="B133:B134"/>
    <mergeCell ref="C133:D133"/>
    <mergeCell ref="E133:E134"/>
    <mergeCell ref="C134:D134"/>
    <mergeCell ref="C173:D173"/>
    <mergeCell ref="C174:D174"/>
    <mergeCell ref="B165:B166"/>
    <mergeCell ref="C165:D165"/>
    <mergeCell ref="C166:D166"/>
    <mergeCell ref="B168:E168"/>
    <mergeCell ref="C169:D169"/>
    <mergeCell ref="C170:D170"/>
    <mergeCell ref="C156:D156"/>
    <mergeCell ref="C157:D157"/>
    <mergeCell ref="C158:D158"/>
    <mergeCell ref="C159:D159"/>
    <mergeCell ref="C160:D160"/>
    <mergeCell ref="C161:D161"/>
    <mergeCell ref="C162:D162"/>
    <mergeCell ref="B164:E164"/>
    <mergeCell ref="B171:E171"/>
    <mergeCell ref="B63:E63"/>
    <mergeCell ref="G14:J14"/>
    <mergeCell ref="G18:G19"/>
    <mergeCell ref="G16:H16"/>
    <mergeCell ref="G22:H22"/>
    <mergeCell ref="G23:H23"/>
    <mergeCell ref="G6:G7"/>
    <mergeCell ref="G8:G9"/>
    <mergeCell ref="C172:E172"/>
    <mergeCell ref="B144:E144"/>
    <mergeCell ref="C145:D145"/>
    <mergeCell ref="B147:E147"/>
    <mergeCell ref="C148:D148"/>
    <mergeCell ref="B150:E150"/>
    <mergeCell ref="C151:D151"/>
    <mergeCell ref="C153:E153"/>
    <mergeCell ref="B154:B155"/>
    <mergeCell ref="C154:D154"/>
    <mergeCell ref="E154:E155"/>
    <mergeCell ref="C155:D155"/>
    <mergeCell ref="B135:B136"/>
    <mergeCell ref="C135:D135"/>
    <mergeCell ref="E135:E136"/>
    <mergeCell ref="C136:D136"/>
  </mergeCells>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6" r:id="rId4" name="Check Box 2">
              <controlPr defaultSize="0" autoFill="0" autoLine="0" autoPict="0">
                <anchor moveWithCells="1">
                  <from>
                    <xdr:col>6</xdr:col>
                    <xdr:colOff>419100</xdr:colOff>
                    <xdr:row>21</xdr:row>
                    <xdr:rowOff>0</xdr:rowOff>
                  </from>
                  <to>
                    <xdr:col>6</xdr:col>
                    <xdr:colOff>1819275</xdr:colOff>
                    <xdr:row>22</xdr:row>
                    <xdr:rowOff>19050</xdr:rowOff>
                  </to>
                </anchor>
              </controlPr>
            </control>
          </mc:Choice>
        </mc:AlternateContent>
        <mc:AlternateContent xmlns:mc="http://schemas.openxmlformats.org/markup-compatibility/2006">
          <mc:Choice Requires="x14">
            <control shapeId="1027" r:id="rId5" name="Check Box 3">
              <controlPr defaultSize="0" autoFill="0" autoLine="0" autoPict="0">
                <anchor moveWithCells="1">
                  <from>
                    <xdr:col>6</xdr:col>
                    <xdr:colOff>419100</xdr:colOff>
                    <xdr:row>22</xdr:row>
                    <xdr:rowOff>66675</xdr:rowOff>
                  </from>
                  <to>
                    <xdr:col>7</xdr:col>
                    <xdr:colOff>504825</xdr:colOff>
                    <xdr:row>22</xdr:row>
                    <xdr:rowOff>485775</xdr:rowOff>
                  </to>
                </anchor>
              </controlPr>
            </control>
          </mc:Choice>
        </mc:AlternateContent>
      </controls>
    </mc:Choice>
  </mc:AlternateConten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8"/>
  <sheetViews>
    <sheetView workbookViewId="0">
      <selection activeCell="H3" sqref="H3:H7"/>
    </sheetView>
  </sheetViews>
  <sheetFormatPr baseColWidth="10" defaultRowHeight="15"/>
  <cols>
    <col min="3" max="3" width="12.7109375" customWidth="1"/>
    <col min="4" max="4" width="13.42578125" customWidth="1"/>
    <col min="5" max="5" width="13" customWidth="1"/>
  </cols>
  <sheetData>
    <row r="1" spans="1:23" s="464" customFormat="1" ht="72">
      <c r="A1" s="465" t="s">
        <v>254</v>
      </c>
      <c r="B1" s="466" t="s">
        <v>628</v>
      </c>
      <c r="C1" s="471" t="s">
        <v>630</v>
      </c>
      <c r="D1" s="471" t="s">
        <v>631</v>
      </c>
      <c r="E1" s="469" t="s">
        <v>597</v>
      </c>
      <c r="F1" s="468" t="s">
        <v>627</v>
      </c>
      <c r="G1" s="468" t="s">
        <v>629</v>
      </c>
      <c r="H1" s="466" t="s">
        <v>632</v>
      </c>
      <c r="I1" s="466" t="s">
        <v>633</v>
      </c>
      <c r="J1" s="466" t="s">
        <v>634</v>
      </c>
      <c r="K1" s="466" t="s">
        <v>635</v>
      </c>
      <c r="L1" s="466" t="s">
        <v>636</v>
      </c>
      <c r="M1" s="466" t="s">
        <v>637</v>
      </c>
      <c r="N1" s="536" t="s">
        <v>626</v>
      </c>
      <c r="O1" s="536" t="s">
        <v>638</v>
      </c>
      <c r="P1" s="468" t="s">
        <v>639</v>
      </c>
      <c r="Q1" s="466" t="s">
        <v>640</v>
      </c>
      <c r="R1" s="467" t="s">
        <v>600</v>
      </c>
      <c r="S1" s="468" t="s">
        <v>523</v>
      </c>
      <c r="T1" s="466" t="s">
        <v>641</v>
      </c>
      <c r="U1" s="536" t="s">
        <v>642</v>
      </c>
      <c r="V1" s="536" t="s">
        <v>643</v>
      </c>
      <c r="W1" s="468" t="s">
        <v>601</v>
      </c>
    </row>
    <row r="2" spans="1:23" ht="15.75">
      <c r="A2" s="470">
        <v>2026</v>
      </c>
      <c r="B2" s="462"/>
      <c r="C2" s="462"/>
      <c r="D2" s="462"/>
      <c r="E2" s="462"/>
      <c r="F2" s="462"/>
      <c r="G2" s="462"/>
      <c r="H2" s="462"/>
      <c r="I2" s="462"/>
      <c r="J2" s="462"/>
      <c r="K2" s="462"/>
      <c r="L2" s="462"/>
      <c r="M2" s="462"/>
      <c r="N2" s="462"/>
      <c r="O2" s="462"/>
      <c r="P2" s="462"/>
      <c r="Q2" s="462"/>
      <c r="R2" s="462"/>
      <c r="S2" s="462"/>
      <c r="T2" s="462"/>
      <c r="U2" s="462"/>
      <c r="V2" s="462"/>
      <c r="W2" s="462"/>
    </row>
    <row r="3" spans="1:23" ht="15.75">
      <c r="A3" s="470">
        <v>2025</v>
      </c>
      <c r="B3" s="481">
        <v>5300</v>
      </c>
      <c r="C3" s="481">
        <v>4000</v>
      </c>
      <c r="D3" s="481">
        <v>2400</v>
      </c>
      <c r="E3" s="481">
        <v>5300</v>
      </c>
      <c r="F3" s="481">
        <v>700</v>
      </c>
      <c r="G3" s="481">
        <v>4900</v>
      </c>
      <c r="H3" s="481">
        <v>86200</v>
      </c>
      <c r="I3" s="481">
        <v>2700</v>
      </c>
      <c r="J3" s="481">
        <v>2700</v>
      </c>
      <c r="K3" s="481">
        <v>2700</v>
      </c>
      <c r="L3" s="481">
        <v>2700</v>
      </c>
      <c r="M3" s="481">
        <v>2700</v>
      </c>
      <c r="N3" s="481">
        <v>4600</v>
      </c>
      <c r="O3" s="481">
        <v>9900</v>
      </c>
      <c r="P3" s="481">
        <v>9900</v>
      </c>
      <c r="Q3" s="481">
        <v>18900</v>
      </c>
      <c r="R3" s="481">
        <v>142500</v>
      </c>
      <c r="S3" s="481">
        <v>18900</v>
      </c>
      <c r="T3" s="481">
        <v>9800</v>
      </c>
      <c r="U3" s="481">
        <v>61600</v>
      </c>
      <c r="V3" s="481">
        <v>166300</v>
      </c>
      <c r="W3" s="481">
        <v>18900</v>
      </c>
    </row>
    <row r="4" spans="1:23" ht="15.75">
      <c r="A4" s="470">
        <v>2024</v>
      </c>
      <c r="B4" s="481">
        <v>5000</v>
      </c>
      <c r="C4" s="481">
        <v>3800</v>
      </c>
      <c r="D4" s="481">
        <v>2300</v>
      </c>
      <c r="E4" s="481">
        <v>5000</v>
      </c>
      <c r="F4" s="481">
        <v>900</v>
      </c>
      <c r="G4" s="481">
        <v>4700</v>
      </c>
      <c r="H4" s="481">
        <v>81900</v>
      </c>
      <c r="I4" s="481">
        <v>2600</v>
      </c>
      <c r="J4" s="481">
        <v>2600</v>
      </c>
      <c r="K4" s="481">
        <v>2600</v>
      </c>
      <c r="L4" s="481">
        <v>2600</v>
      </c>
      <c r="M4" s="481">
        <v>2600</v>
      </c>
      <c r="N4" s="481">
        <v>4400</v>
      </c>
      <c r="O4" s="481">
        <v>9400</v>
      </c>
      <c r="P4" s="481">
        <v>9400</v>
      </c>
      <c r="Q4" s="481">
        <v>18000</v>
      </c>
      <c r="R4" s="481">
        <v>135500</v>
      </c>
      <c r="S4" s="481">
        <v>18000</v>
      </c>
      <c r="T4" s="481">
        <v>9300</v>
      </c>
      <c r="U4" s="481">
        <v>58600</v>
      </c>
      <c r="V4" s="481">
        <v>158100</v>
      </c>
      <c r="W4" s="481">
        <v>18000</v>
      </c>
    </row>
    <row r="5" spans="1:23" ht="15.75">
      <c r="A5" s="470">
        <v>2023</v>
      </c>
      <c r="B5" s="481">
        <v>4600</v>
      </c>
      <c r="C5" s="481">
        <v>3500</v>
      </c>
      <c r="D5" s="481">
        <v>2100</v>
      </c>
      <c r="E5" s="481">
        <v>4600</v>
      </c>
      <c r="F5" s="481">
        <v>900</v>
      </c>
      <c r="G5" s="481">
        <v>4300</v>
      </c>
      <c r="H5" s="481">
        <v>74900</v>
      </c>
      <c r="I5" s="481">
        <v>2400</v>
      </c>
      <c r="J5" s="481">
        <v>2400</v>
      </c>
      <c r="K5" s="481">
        <v>2400</v>
      </c>
      <c r="L5" s="481">
        <v>2400</v>
      </c>
      <c r="M5" s="481">
        <v>2400</v>
      </c>
      <c r="N5" s="481">
        <v>4000</v>
      </c>
      <c r="O5" s="481">
        <v>8600</v>
      </c>
      <c r="P5" s="481">
        <v>8600</v>
      </c>
      <c r="Q5" s="481">
        <v>16500</v>
      </c>
      <c r="R5" s="481">
        <v>124000</v>
      </c>
      <c r="S5" s="481">
        <v>16500</v>
      </c>
      <c r="T5" s="481">
        <v>8500</v>
      </c>
      <c r="U5" s="481">
        <v>53600</v>
      </c>
      <c r="V5" s="481">
        <v>144700</v>
      </c>
      <c r="W5" s="481">
        <v>16500</v>
      </c>
    </row>
    <row r="6" spans="1:23" ht="15.75">
      <c r="A6" s="470">
        <v>2022</v>
      </c>
      <c r="B6" s="481">
        <v>4100</v>
      </c>
      <c r="C6" s="481">
        <v>3100</v>
      </c>
      <c r="D6" s="481">
        <v>1900</v>
      </c>
      <c r="E6" s="481">
        <v>4100</v>
      </c>
      <c r="F6" s="481">
        <v>900</v>
      </c>
      <c r="G6" s="481">
        <v>3800</v>
      </c>
      <c r="H6" s="481">
        <v>66200</v>
      </c>
      <c r="I6" s="481">
        <v>2100</v>
      </c>
      <c r="J6" s="481">
        <v>2100</v>
      </c>
      <c r="K6" s="481">
        <v>2100</v>
      </c>
      <c r="L6" s="481">
        <v>2100</v>
      </c>
      <c r="M6" s="481">
        <v>2100</v>
      </c>
      <c r="N6" s="481">
        <v>3500</v>
      </c>
      <c r="O6" s="481">
        <v>7600</v>
      </c>
      <c r="P6" s="481">
        <v>7600</v>
      </c>
      <c r="Q6" s="481">
        <v>14600</v>
      </c>
      <c r="R6" s="481">
        <v>109600</v>
      </c>
      <c r="S6" s="481">
        <v>14600</v>
      </c>
      <c r="T6" s="481">
        <v>7500</v>
      </c>
      <c r="U6" s="481">
        <v>47400</v>
      </c>
      <c r="V6" s="481">
        <v>127900</v>
      </c>
      <c r="W6" s="481">
        <v>14600</v>
      </c>
    </row>
    <row r="7" spans="1:23" ht="15.75">
      <c r="A7" s="470">
        <v>2021</v>
      </c>
      <c r="B7" s="481">
        <v>3900</v>
      </c>
      <c r="C7" s="481">
        <v>2900</v>
      </c>
      <c r="D7" s="481">
        <v>1800</v>
      </c>
      <c r="E7" s="481">
        <v>3900</v>
      </c>
      <c r="F7" s="481">
        <v>900</v>
      </c>
      <c r="G7" s="481">
        <v>3600</v>
      </c>
      <c r="H7" s="481">
        <v>62700</v>
      </c>
      <c r="I7" s="481">
        <v>2000</v>
      </c>
      <c r="J7" s="481">
        <v>2000</v>
      </c>
      <c r="K7" s="481">
        <v>2000</v>
      </c>
      <c r="L7" s="481">
        <v>2000</v>
      </c>
      <c r="M7" s="481">
        <v>2000</v>
      </c>
      <c r="N7" s="481">
        <v>3300</v>
      </c>
      <c r="O7" s="481">
        <v>7200</v>
      </c>
      <c r="P7" s="481">
        <v>7200</v>
      </c>
      <c r="Q7" s="481">
        <v>13800</v>
      </c>
      <c r="R7" s="481">
        <v>103800</v>
      </c>
      <c r="S7" s="481">
        <v>13800</v>
      </c>
      <c r="T7" s="481">
        <v>7100</v>
      </c>
      <c r="U7" s="481">
        <v>44900</v>
      </c>
      <c r="V7" s="481">
        <v>121100</v>
      </c>
      <c r="W7" s="481">
        <v>13800</v>
      </c>
    </row>
    <row r="8" spans="1:23">
      <c r="A8" s="480"/>
      <c r="B8" s="480"/>
      <c r="C8" s="473"/>
      <c r="D8" s="474"/>
      <c r="E8" s="474"/>
    </row>
  </sheetData>
  <phoneticPr fontId="12" type="noConversion"/>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3"/>
  <sheetViews>
    <sheetView tabSelected="1" workbookViewId="0">
      <selection activeCell="K11" sqref="K11"/>
    </sheetView>
  </sheetViews>
  <sheetFormatPr baseColWidth="10" defaultRowHeight="15"/>
  <cols>
    <col min="1" max="1" width="11.140625" bestFit="1" customWidth="1"/>
    <col min="2" max="2" width="20" customWidth="1"/>
    <col min="3" max="3" width="17.140625" customWidth="1"/>
    <col min="4" max="4" width="20" customWidth="1"/>
    <col min="5" max="5" width="19" customWidth="1"/>
    <col min="7" max="7" width="19" customWidth="1"/>
    <col min="8" max="8" width="15.7109375" customWidth="1"/>
    <col min="9" max="9" width="19.28515625" customWidth="1"/>
    <col min="10" max="10" width="19.5703125" bestFit="1" customWidth="1"/>
    <col min="11" max="11" width="14.5703125" bestFit="1" customWidth="1"/>
    <col min="12" max="12" width="18.85546875" customWidth="1"/>
  </cols>
  <sheetData>
    <row r="1" spans="1:12" ht="30">
      <c r="A1" s="760" t="s">
        <v>644</v>
      </c>
      <c r="B1" s="760" t="s">
        <v>645</v>
      </c>
      <c r="C1" s="760" t="s">
        <v>646</v>
      </c>
      <c r="D1" s="760" t="s">
        <v>647</v>
      </c>
      <c r="E1" s="760" t="s">
        <v>648</v>
      </c>
      <c r="F1" s="760" t="s">
        <v>649</v>
      </c>
      <c r="G1" s="760" t="s">
        <v>650</v>
      </c>
      <c r="H1" s="760" t="s">
        <v>651</v>
      </c>
      <c r="I1" s="760" t="s">
        <v>652</v>
      </c>
      <c r="J1" s="761" t="s">
        <v>656</v>
      </c>
      <c r="K1" s="761" t="s">
        <v>657</v>
      </c>
      <c r="L1" s="762" t="s">
        <v>658</v>
      </c>
    </row>
    <row r="2" spans="1:12" ht="30">
      <c r="A2" s="753" t="s">
        <v>654</v>
      </c>
      <c r="B2" s="753" t="s">
        <v>653</v>
      </c>
      <c r="C2" s="756"/>
      <c r="D2" s="756"/>
      <c r="E2" s="752"/>
      <c r="F2" s="752"/>
      <c r="G2" s="752"/>
      <c r="H2" s="754">
        <v>2026</v>
      </c>
      <c r="I2" s="754">
        <v>2026</v>
      </c>
      <c r="J2" s="759"/>
      <c r="K2" s="759"/>
    </row>
    <row r="3" spans="1:12" ht="30">
      <c r="A3" s="753" t="s">
        <v>654</v>
      </c>
      <c r="B3" s="753" t="s">
        <v>653</v>
      </c>
      <c r="C3" s="757">
        <v>246700</v>
      </c>
      <c r="D3" s="757">
        <v>29400</v>
      </c>
      <c r="E3" s="753">
        <v>3.0000000000000001E-3</v>
      </c>
      <c r="F3" s="753"/>
      <c r="G3" s="753"/>
      <c r="H3" s="132">
        <v>2025</v>
      </c>
      <c r="I3" s="132">
        <v>2025</v>
      </c>
      <c r="J3" s="757">
        <v>41720800</v>
      </c>
      <c r="K3" s="757">
        <v>6267700</v>
      </c>
    </row>
    <row r="4" spans="1:12" ht="30">
      <c r="A4" s="753" t="s">
        <v>654</v>
      </c>
      <c r="B4" s="753" t="s">
        <v>653</v>
      </c>
      <c r="C4" s="757">
        <v>234500</v>
      </c>
      <c r="D4" s="757">
        <v>27900</v>
      </c>
      <c r="E4" s="753">
        <v>3.0000000000000001E-3</v>
      </c>
      <c r="F4" s="29"/>
      <c r="G4" s="29"/>
      <c r="H4" s="754">
        <v>2024</v>
      </c>
      <c r="I4" s="754">
        <v>2024</v>
      </c>
      <c r="J4" s="757">
        <v>39658600</v>
      </c>
      <c r="K4" s="757">
        <v>5957900</v>
      </c>
    </row>
    <row r="5" spans="1:12" ht="30">
      <c r="A5" s="753" t="s">
        <v>654</v>
      </c>
      <c r="B5" s="753" t="s">
        <v>653</v>
      </c>
      <c r="C5" s="757">
        <v>214600</v>
      </c>
      <c r="D5" s="757">
        <v>25500</v>
      </c>
      <c r="E5" s="753">
        <v>3.0000000000000001E-3</v>
      </c>
      <c r="F5" s="29"/>
      <c r="G5" s="29"/>
      <c r="H5" s="132">
        <v>2023</v>
      </c>
      <c r="I5" s="132">
        <v>2023</v>
      </c>
      <c r="J5" s="757">
        <v>36290800</v>
      </c>
      <c r="K5" s="757">
        <v>5452000</v>
      </c>
    </row>
    <row r="6" spans="1:12" ht="30">
      <c r="A6" s="753" t="s">
        <v>654</v>
      </c>
      <c r="B6" s="753" t="s">
        <v>653</v>
      </c>
      <c r="C6" s="757">
        <v>189700</v>
      </c>
      <c r="D6" s="757">
        <v>22500</v>
      </c>
      <c r="E6" s="753">
        <v>3.0000000000000001E-3</v>
      </c>
      <c r="F6" s="29"/>
      <c r="G6" s="29"/>
      <c r="H6" s="754">
        <v>2022</v>
      </c>
      <c r="I6" s="754">
        <v>2022</v>
      </c>
      <c r="J6" s="757">
        <v>32081700</v>
      </c>
      <c r="K6" s="757">
        <v>4819700</v>
      </c>
    </row>
    <row r="7" spans="1:12" ht="30">
      <c r="A7" s="753" t="s">
        <v>654</v>
      </c>
      <c r="B7" s="753" t="s">
        <v>653</v>
      </c>
      <c r="C7" s="757">
        <v>179600</v>
      </c>
      <c r="D7" s="757">
        <v>21300</v>
      </c>
      <c r="E7" s="753">
        <v>3.0000000000000001E-3</v>
      </c>
      <c r="F7" s="29"/>
      <c r="G7" s="29"/>
      <c r="H7" s="132">
        <v>2021</v>
      </c>
      <c r="I7" s="132">
        <v>2021</v>
      </c>
      <c r="J7" s="757">
        <v>30374600</v>
      </c>
      <c r="K7" s="757">
        <v>4563200</v>
      </c>
    </row>
    <row r="8" spans="1:12" ht="30">
      <c r="A8" s="755" t="s">
        <v>655</v>
      </c>
      <c r="B8" s="753" t="s">
        <v>653</v>
      </c>
      <c r="C8" s="757"/>
      <c r="D8" s="757"/>
      <c r="E8" s="753"/>
      <c r="F8" s="29"/>
      <c r="G8" s="29"/>
      <c r="H8" s="754">
        <v>2026</v>
      </c>
      <c r="I8" s="754">
        <v>2026</v>
      </c>
      <c r="J8" s="759"/>
      <c r="K8" s="759"/>
    </row>
    <row r="9" spans="1:12" ht="30">
      <c r="A9" s="755" t="s">
        <v>655</v>
      </c>
      <c r="B9" s="753" t="s">
        <v>653</v>
      </c>
      <c r="C9" s="758">
        <v>18389628.800000001</v>
      </c>
      <c r="D9" s="757">
        <v>86200</v>
      </c>
      <c r="E9" s="753">
        <v>3.5000000000000001E-3</v>
      </c>
      <c r="F9" s="29"/>
      <c r="G9" s="29"/>
      <c r="H9" s="132">
        <v>2025</v>
      </c>
      <c r="I9" s="132">
        <v>2025</v>
      </c>
      <c r="J9" s="757">
        <v>41720800</v>
      </c>
      <c r="K9" s="757">
        <v>6267700</v>
      </c>
    </row>
    <row r="10" spans="1:12" ht="30">
      <c r="A10" s="755" t="s">
        <v>655</v>
      </c>
      <c r="B10" s="753" t="s">
        <v>653</v>
      </c>
      <c r="C10" s="758">
        <v>17432896.899999999</v>
      </c>
      <c r="D10" s="757">
        <v>81900</v>
      </c>
      <c r="E10" s="753">
        <v>3.5000000000000001E-3</v>
      </c>
      <c r="F10" s="29"/>
      <c r="G10" s="29"/>
      <c r="H10" s="754">
        <v>2024</v>
      </c>
      <c r="I10" s="754">
        <v>2024</v>
      </c>
      <c r="J10" s="757">
        <v>39658600</v>
      </c>
      <c r="K10" s="757">
        <v>5957900</v>
      </c>
    </row>
    <row r="11" spans="1:12" ht="30">
      <c r="A11" s="755" t="s">
        <v>655</v>
      </c>
      <c r="B11" s="753" t="s">
        <v>653</v>
      </c>
      <c r="C11" s="758">
        <v>15918973</v>
      </c>
      <c r="D11" s="757">
        <v>74900</v>
      </c>
      <c r="E11" s="753">
        <v>3.5000000000000001E-3</v>
      </c>
      <c r="F11" s="29"/>
      <c r="G11" s="29"/>
      <c r="H11" s="132">
        <v>2023</v>
      </c>
      <c r="I11" s="132">
        <v>2023</v>
      </c>
      <c r="J11" s="757">
        <v>36290800</v>
      </c>
      <c r="K11" s="757">
        <v>5452000</v>
      </c>
    </row>
    <row r="12" spans="1:12" ht="30">
      <c r="A12" s="755" t="s">
        <v>655</v>
      </c>
      <c r="B12" s="753" t="s">
        <v>653</v>
      </c>
      <c r="C12" s="758">
        <v>14264469</v>
      </c>
      <c r="D12" s="757">
        <v>66200</v>
      </c>
      <c r="E12" s="753">
        <v>3.5000000000000001E-3</v>
      </c>
      <c r="F12" s="29"/>
      <c r="G12" s="29"/>
      <c r="H12" s="754">
        <v>2022</v>
      </c>
      <c r="I12" s="754">
        <v>2022</v>
      </c>
      <c r="J12" s="757">
        <v>32081700</v>
      </c>
      <c r="K12" s="757">
        <v>4819700</v>
      </c>
    </row>
    <row r="13" spans="1:12" ht="30">
      <c r="A13" s="755" t="s">
        <v>655</v>
      </c>
      <c r="B13" s="753" t="s">
        <v>653</v>
      </c>
      <c r="C13" s="758">
        <v>13627890</v>
      </c>
      <c r="D13" s="757">
        <v>62700</v>
      </c>
      <c r="E13" s="753">
        <v>3.5000000000000001E-3</v>
      </c>
      <c r="F13" s="29"/>
      <c r="G13" s="29"/>
      <c r="H13" s="132">
        <v>2021</v>
      </c>
      <c r="I13" s="132">
        <v>2021</v>
      </c>
      <c r="J13" s="757">
        <v>30374600</v>
      </c>
      <c r="K13" s="757">
        <v>4563200</v>
      </c>
    </row>
    <row r="14" spans="1:12">
      <c r="J14" s="759"/>
      <c r="K14" s="759"/>
    </row>
    <row r="19" spans="6:8">
      <c r="F19" s="14"/>
      <c r="G19" s="14"/>
      <c r="H19" s="14"/>
    </row>
    <row r="20" spans="6:8">
      <c r="F20" s="14"/>
      <c r="G20" s="14"/>
      <c r="H20" s="14"/>
    </row>
    <row r="21" spans="6:8">
      <c r="F21" s="14"/>
      <c r="G21" s="14"/>
      <c r="H21" s="14"/>
    </row>
    <row r="22" spans="6:8">
      <c r="F22" s="14"/>
      <c r="G22" s="14"/>
      <c r="H22" s="14"/>
    </row>
    <row r="23" spans="6:8">
      <c r="F23" s="14"/>
      <c r="G23" s="14"/>
      <c r="H23" s="14"/>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15"/>
  <sheetViews>
    <sheetView topLeftCell="K1" workbookViewId="0">
      <selection activeCell="M3" sqref="M3:N7"/>
    </sheetView>
  </sheetViews>
  <sheetFormatPr baseColWidth="10" defaultRowHeight="15"/>
  <cols>
    <col min="4" max="4" width="14.140625" customWidth="1"/>
    <col min="5" max="5" width="12.7109375" bestFit="1" customWidth="1"/>
    <col min="7" max="7" width="18.85546875" customWidth="1"/>
    <col min="9" max="9" width="18.7109375" customWidth="1"/>
    <col min="10" max="10" width="16.85546875" customWidth="1"/>
    <col min="11" max="11" width="13.7109375" customWidth="1"/>
    <col min="12" max="12" width="67.42578125" bestFit="1" customWidth="1"/>
    <col min="13" max="14" width="23" bestFit="1" customWidth="1"/>
    <col min="15" max="15" width="39.7109375" customWidth="1"/>
    <col min="16" max="16" width="29" customWidth="1"/>
    <col min="17" max="17" width="23.28515625" customWidth="1"/>
    <col min="18" max="18" width="48.85546875" customWidth="1"/>
    <col min="20" max="21" width="15.28515625" bestFit="1" customWidth="1"/>
    <col min="22" max="22" width="21.28515625" customWidth="1"/>
    <col min="23" max="23" width="23.140625" customWidth="1"/>
  </cols>
  <sheetData>
    <row r="1" spans="1:23" ht="96">
      <c r="A1" s="664" t="s">
        <v>590</v>
      </c>
      <c r="B1" s="664"/>
      <c r="C1" s="664"/>
      <c r="D1" s="665" t="s">
        <v>591</v>
      </c>
      <c r="E1" s="665"/>
      <c r="F1" s="665"/>
      <c r="G1" s="467" t="s">
        <v>599</v>
      </c>
      <c r="H1" s="468" t="s">
        <v>598</v>
      </c>
      <c r="I1" s="466" t="s">
        <v>602</v>
      </c>
      <c r="J1" s="466" t="s">
        <v>603</v>
      </c>
      <c r="K1" s="466" t="s">
        <v>604</v>
      </c>
      <c r="L1" s="467" t="s">
        <v>607</v>
      </c>
      <c r="M1" s="468" t="s">
        <v>608</v>
      </c>
      <c r="N1" s="489" t="s">
        <v>609</v>
      </c>
      <c r="O1" s="467" t="s">
        <v>620</v>
      </c>
      <c r="P1" s="468" t="s">
        <v>621</v>
      </c>
      <c r="Q1" s="468" t="s">
        <v>622</v>
      </c>
      <c r="R1" s="534"/>
      <c r="S1" s="518" t="s">
        <v>270</v>
      </c>
      <c r="T1" s="518" t="s">
        <v>610</v>
      </c>
      <c r="U1" s="518" t="s">
        <v>611</v>
      </c>
      <c r="V1" s="518" t="s">
        <v>623</v>
      </c>
      <c r="W1" s="518" t="s">
        <v>624</v>
      </c>
    </row>
    <row r="2" spans="1:23" ht="15.75">
      <c r="A2" s="462"/>
      <c r="B2" s="462"/>
      <c r="C2" s="462"/>
      <c r="D2" s="462"/>
      <c r="E2" s="462"/>
      <c r="F2" s="462"/>
      <c r="G2" s="462"/>
      <c r="H2" s="462"/>
      <c r="I2" s="462"/>
      <c r="J2" s="462"/>
      <c r="K2" s="462"/>
      <c r="L2" s="74"/>
      <c r="M2" s="74"/>
      <c r="N2" s="74"/>
      <c r="O2" s="29"/>
      <c r="P2" s="29"/>
      <c r="Q2" s="29"/>
      <c r="R2" s="29"/>
      <c r="S2" s="533">
        <v>52374</v>
      </c>
      <c r="T2" s="533">
        <f>20000*S2</f>
        <v>1047480000</v>
      </c>
      <c r="U2" s="533">
        <f>50000*S2</f>
        <v>2618700000</v>
      </c>
      <c r="V2" s="533"/>
      <c r="W2" s="533"/>
    </row>
    <row r="3" spans="1:23" ht="15.75">
      <c r="A3" s="481">
        <v>246700</v>
      </c>
      <c r="B3" s="481">
        <v>29400</v>
      </c>
      <c r="C3" s="481" t="s">
        <v>594</v>
      </c>
      <c r="D3" s="481" t="s">
        <v>593</v>
      </c>
      <c r="E3" s="481">
        <v>18389628.800000001</v>
      </c>
      <c r="F3" s="481" t="s">
        <v>595</v>
      </c>
      <c r="G3" s="481" t="e">
        <f>#REF!*10%</f>
        <v>#REF!</v>
      </c>
      <c r="H3" s="481">
        <f>'Hoja de control'!P3*10%</f>
        <v>990</v>
      </c>
      <c r="I3" s="481">
        <v>18900</v>
      </c>
      <c r="J3" s="481">
        <v>9400</v>
      </c>
      <c r="K3" s="481">
        <v>3400</v>
      </c>
      <c r="L3" s="481">
        <v>285400</v>
      </c>
      <c r="M3" s="481">
        <v>6267700</v>
      </c>
      <c r="N3" s="481">
        <v>41720800</v>
      </c>
      <c r="O3" s="481">
        <v>12900</v>
      </c>
      <c r="P3" s="481">
        <v>61600</v>
      </c>
      <c r="Q3" s="481">
        <v>11500</v>
      </c>
      <c r="R3" s="29">
        <v>10300</v>
      </c>
      <c r="S3" s="481">
        <v>49799</v>
      </c>
      <c r="T3" s="481">
        <f>20000*S3</f>
        <v>995980000</v>
      </c>
      <c r="U3" s="481">
        <f>50000*S3</f>
        <v>2489950000</v>
      </c>
      <c r="V3" s="481">
        <v>9800</v>
      </c>
      <c r="W3" s="481">
        <v>2400</v>
      </c>
    </row>
    <row r="4" spans="1:23" ht="15.75">
      <c r="A4" s="481">
        <v>234500</v>
      </c>
      <c r="B4" s="481">
        <v>27900</v>
      </c>
      <c r="C4" s="481" t="s">
        <v>594</v>
      </c>
      <c r="D4" s="481" t="s">
        <v>593</v>
      </c>
      <c r="E4" s="481">
        <v>17432896.899999999</v>
      </c>
      <c r="F4" s="481" t="s">
        <v>595</v>
      </c>
      <c r="G4" s="481" t="e">
        <f>#REF!*10%</f>
        <v>#REF!</v>
      </c>
      <c r="H4" s="481">
        <f>'Hoja de control'!P4*10%</f>
        <v>940</v>
      </c>
      <c r="I4" s="481">
        <v>18000</v>
      </c>
      <c r="J4" s="481">
        <v>8900</v>
      </c>
      <c r="K4" s="481">
        <v>3200</v>
      </c>
      <c r="L4" s="481">
        <v>271300</v>
      </c>
      <c r="M4" s="481">
        <v>5957900</v>
      </c>
      <c r="N4" s="481">
        <v>39658600</v>
      </c>
      <c r="O4" s="481">
        <v>12300</v>
      </c>
      <c r="P4" s="481">
        <v>58600</v>
      </c>
      <c r="Q4" s="481">
        <v>10900</v>
      </c>
      <c r="R4" s="29"/>
      <c r="S4" s="481">
        <v>47065</v>
      </c>
      <c r="T4" s="481">
        <f>20000*S4</f>
        <v>941300000</v>
      </c>
      <c r="U4" s="481">
        <f>50000*S4</f>
        <v>2353250000</v>
      </c>
      <c r="V4" s="481">
        <v>9300</v>
      </c>
      <c r="W4" s="481">
        <v>2300</v>
      </c>
    </row>
    <row r="5" spans="1:23" ht="15.75">
      <c r="A5" s="481">
        <v>214600</v>
      </c>
      <c r="B5" s="481">
        <v>25500</v>
      </c>
      <c r="C5" s="481" t="s">
        <v>594</v>
      </c>
      <c r="D5" s="481" t="s">
        <v>593</v>
      </c>
      <c r="E5" s="481">
        <v>15918973</v>
      </c>
      <c r="F5" s="481" t="s">
        <v>595</v>
      </c>
      <c r="G5" s="481" t="e">
        <f>#REF!*10%</f>
        <v>#REF!</v>
      </c>
      <c r="H5" s="481">
        <f>'Hoja de control'!P5*10%</f>
        <v>860</v>
      </c>
      <c r="I5" s="481">
        <v>16500</v>
      </c>
      <c r="J5" s="481">
        <v>8100</v>
      </c>
      <c r="K5" s="481">
        <v>2900</v>
      </c>
      <c r="L5" s="481">
        <v>248300</v>
      </c>
      <c r="M5" s="481">
        <v>5452000</v>
      </c>
      <c r="N5" s="481">
        <v>36290800</v>
      </c>
      <c r="O5" s="481">
        <v>11300</v>
      </c>
      <c r="P5" s="481">
        <v>53600</v>
      </c>
      <c r="Q5" s="481">
        <v>10000</v>
      </c>
      <c r="R5" s="29"/>
      <c r="S5" s="481">
        <v>42412</v>
      </c>
      <c r="T5" s="481">
        <f>20000*S5</f>
        <v>848240000</v>
      </c>
      <c r="U5" s="481">
        <f>50000*S5</f>
        <v>2120600000</v>
      </c>
      <c r="V5" s="481">
        <v>8500</v>
      </c>
      <c r="W5" s="481">
        <v>2100</v>
      </c>
    </row>
    <row r="6" spans="1:23" ht="15.75">
      <c r="A6" s="481">
        <v>189700</v>
      </c>
      <c r="B6" s="481">
        <v>22500</v>
      </c>
      <c r="C6" s="481" t="s">
        <v>594</v>
      </c>
      <c r="D6" s="481" t="s">
        <v>593</v>
      </c>
      <c r="E6" s="481">
        <v>14264469</v>
      </c>
      <c r="F6" s="481" t="s">
        <v>595</v>
      </c>
      <c r="G6" s="481" t="e">
        <f>#REF!*10%</f>
        <v>#REF!</v>
      </c>
      <c r="H6" s="481">
        <f>'Hoja de control'!P6*10%</f>
        <v>760</v>
      </c>
      <c r="I6" s="481">
        <v>14600</v>
      </c>
      <c r="J6" s="481">
        <v>7200</v>
      </c>
      <c r="K6" s="481">
        <v>2600</v>
      </c>
      <c r="L6" s="481">
        <v>219500</v>
      </c>
      <c r="M6" s="481">
        <v>4819700</v>
      </c>
      <c r="N6" s="481">
        <v>32081700</v>
      </c>
      <c r="O6" s="481">
        <v>10000</v>
      </c>
      <c r="P6" s="481">
        <v>47400</v>
      </c>
      <c r="Q6" s="481">
        <v>8800</v>
      </c>
      <c r="R6" s="29"/>
      <c r="S6" s="481">
        <v>38004</v>
      </c>
      <c r="T6" s="481">
        <v>0</v>
      </c>
      <c r="U6" s="481">
        <v>0</v>
      </c>
      <c r="V6" s="481">
        <v>7500</v>
      </c>
      <c r="W6" s="481">
        <v>1900</v>
      </c>
    </row>
    <row r="7" spans="1:23" ht="15.75">
      <c r="A7" s="481">
        <v>179600</v>
      </c>
      <c r="B7" s="481">
        <v>21300</v>
      </c>
      <c r="C7" s="481" t="s">
        <v>594</v>
      </c>
      <c r="D7" s="481" t="s">
        <v>592</v>
      </c>
      <c r="E7" s="481">
        <f>15*908526</f>
        <v>13627890</v>
      </c>
      <c r="F7" s="481" t="s">
        <v>595</v>
      </c>
      <c r="G7" s="481" t="e">
        <f>#REF!*10%</f>
        <v>#REF!</v>
      </c>
      <c r="H7" s="481">
        <f>'Hoja de control'!P7*10%</f>
        <v>720</v>
      </c>
      <c r="I7" s="481">
        <v>13800</v>
      </c>
      <c r="J7" s="481">
        <v>6800</v>
      </c>
      <c r="K7" s="481">
        <v>2500</v>
      </c>
      <c r="L7" s="481">
        <v>207800</v>
      </c>
      <c r="M7" s="481">
        <v>4563200</v>
      </c>
      <c r="N7" s="481">
        <v>30374600</v>
      </c>
      <c r="O7" s="481">
        <v>9500</v>
      </c>
      <c r="P7" s="481">
        <v>44900</v>
      </c>
      <c r="Q7" s="481">
        <v>8300</v>
      </c>
      <c r="R7" s="29"/>
      <c r="S7" s="481">
        <v>36308</v>
      </c>
      <c r="T7" s="481">
        <v>0</v>
      </c>
      <c r="U7" s="481">
        <v>0</v>
      </c>
      <c r="V7" s="481">
        <v>7100</v>
      </c>
      <c r="W7" s="481">
        <v>1800</v>
      </c>
    </row>
    <row r="8" spans="1:23" ht="15.75">
      <c r="A8" s="474"/>
      <c r="B8" s="474"/>
      <c r="E8" s="472"/>
      <c r="G8" s="480"/>
      <c r="H8" s="474"/>
      <c r="I8" s="474"/>
      <c r="J8" s="474"/>
      <c r="L8" s="474"/>
      <c r="M8" s="474"/>
      <c r="O8" s="474"/>
      <c r="P8" s="474"/>
      <c r="R8" s="474"/>
      <c r="S8" s="517"/>
      <c r="T8" s="474"/>
      <c r="U8" s="474"/>
      <c r="V8" s="517"/>
      <c r="W8" s="517"/>
    </row>
    <row r="13" spans="1:23">
      <c r="T13" s="535"/>
    </row>
    <row r="15" spans="1:23">
      <c r="C15" s="463"/>
    </row>
  </sheetData>
  <mergeCells count="2">
    <mergeCell ref="A1:C1"/>
    <mergeCell ref="D1:F1"/>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75"/>
  <sheetViews>
    <sheetView topLeftCell="A77" workbookViewId="0">
      <selection activeCell="C85" sqref="C85:D85"/>
    </sheetView>
  </sheetViews>
  <sheetFormatPr baseColWidth="10" defaultColWidth="9.140625" defaultRowHeight="16.5"/>
  <cols>
    <col min="1" max="1" width="3.5703125" style="357" customWidth="1"/>
    <col min="2" max="2" width="15.28515625" style="359" bestFit="1" customWidth="1"/>
    <col min="3" max="3" width="29.140625" style="358" customWidth="1"/>
    <col min="4" max="4" width="22" style="358" customWidth="1"/>
    <col min="5" max="5" width="19" style="358" customWidth="1"/>
    <col min="6" max="6" width="4.28515625" style="357" customWidth="1"/>
    <col min="7" max="7" width="27.28515625" style="357" bestFit="1" customWidth="1"/>
    <col min="8" max="8" width="19.7109375" style="357" customWidth="1"/>
    <col min="9" max="9" width="17.42578125" style="357" bestFit="1" customWidth="1"/>
    <col min="10" max="10" width="32.5703125" style="357" bestFit="1" customWidth="1"/>
    <col min="11" max="11" width="13.140625" style="357" customWidth="1"/>
    <col min="12" max="12" width="16.28515625" style="357" customWidth="1"/>
    <col min="13" max="13" width="11.7109375" style="357" bestFit="1" customWidth="1"/>
    <col min="14" max="14" width="15" style="357" customWidth="1"/>
    <col min="15" max="15" width="17.28515625" style="357" customWidth="1"/>
    <col min="16" max="16" width="26.42578125" style="357" customWidth="1"/>
    <col min="17" max="17" width="9.140625" style="357"/>
    <col min="18" max="18" width="18" style="357" bestFit="1" customWidth="1"/>
    <col min="19" max="19" width="17.42578125" style="357" bestFit="1" customWidth="1"/>
    <col min="20" max="16384" width="9.140625" style="357"/>
  </cols>
  <sheetData>
    <row r="1" spans="1:13" ht="17.25" thickBot="1">
      <c r="A1" s="358"/>
      <c r="C1" s="359"/>
      <c r="G1" s="666" t="s">
        <v>586</v>
      </c>
      <c r="H1" s="667"/>
      <c r="I1" s="667"/>
      <c r="J1" s="668"/>
    </row>
    <row r="2" spans="1:13" ht="17.25" thickBot="1">
      <c r="A2" s="358"/>
      <c r="B2" s="682" t="s">
        <v>67</v>
      </c>
      <c r="C2" s="683"/>
      <c r="D2" s="683"/>
      <c r="E2" s="684"/>
      <c r="G2" s="431" t="s">
        <v>577</v>
      </c>
      <c r="H2" s="430" t="s">
        <v>585</v>
      </c>
      <c r="I2" s="430" t="s">
        <v>584</v>
      </c>
      <c r="J2" s="429" t="s">
        <v>583</v>
      </c>
      <c r="K2" s="358"/>
    </row>
    <row r="3" spans="1:13" ht="41.25" thickBot="1">
      <c r="A3" s="358"/>
      <c r="B3" s="685" t="s">
        <v>582</v>
      </c>
      <c r="C3" s="686"/>
      <c r="D3" s="686"/>
      <c r="E3" s="687"/>
      <c r="G3" s="428" t="s">
        <v>581</v>
      </c>
      <c r="H3" s="427">
        <v>1</v>
      </c>
      <c r="I3" s="426">
        <f>E13</f>
        <v>27900</v>
      </c>
      <c r="J3" s="425">
        <f>H3*I3</f>
        <v>27900</v>
      </c>
      <c r="K3" s="424" t="str">
        <f>IF(J3&gt;J28,K28,K29)</f>
        <v>NO Genera Aporte Especial</v>
      </c>
      <c r="M3" s="423"/>
    </row>
    <row r="4" spans="1:13" ht="17.25" thickBot="1">
      <c r="A4" s="358"/>
      <c r="B4" s="688" t="s">
        <v>580</v>
      </c>
      <c r="C4" s="689"/>
      <c r="D4" s="689"/>
      <c r="E4" s="690"/>
      <c r="G4" s="421" t="s">
        <v>579</v>
      </c>
      <c r="H4" s="422">
        <v>9</v>
      </c>
      <c r="I4" s="385">
        <f>E31</f>
        <v>5000</v>
      </c>
      <c r="J4" s="419">
        <f>H4*I4</f>
        <v>45000</v>
      </c>
    </row>
    <row r="5" spans="1:13" ht="17.25" thickBot="1">
      <c r="A5" s="358"/>
      <c r="C5" s="372"/>
      <c r="D5" s="372"/>
      <c r="E5" s="372"/>
      <c r="G5" s="421"/>
      <c r="H5" s="420">
        <v>1</v>
      </c>
      <c r="I5" s="385">
        <f>E32</f>
        <v>0</v>
      </c>
      <c r="J5" s="419">
        <f>H5*I5</f>
        <v>0</v>
      </c>
    </row>
    <row r="6" spans="1:13" ht="17.25" thickBot="1">
      <c r="A6" s="358"/>
      <c r="B6" s="682" t="s">
        <v>578</v>
      </c>
      <c r="C6" s="683"/>
      <c r="D6" s="683"/>
      <c r="E6" s="684"/>
      <c r="G6" s="421" t="s">
        <v>577</v>
      </c>
      <c r="H6" s="420">
        <v>0</v>
      </c>
      <c r="I6" s="385">
        <v>0</v>
      </c>
      <c r="J6" s="419">
        <f>H6*I6</f>
        <v>0</v>
      </c>
    </row>
    <row r="7" spans="1:13" ht="17.25" thickBot="1">
      <c r="A7" s="358"/>
      <c r="B7" s="691" t="s">
        <v>576</v>
      </c>
      <c r="C7" s="693" t="s">
        <v>402</v>
      </c>
      <c r="D7" s="693"/>
      <c r="E7" s="694"/>
      <c r="F7" s="358"/>
      <c r="G7" s="392" t="s">
        <v>575</v>
      </c>
      <c r="H7" s="391"/>
      <c r="I7" s="391"/>
      <c r="J7" s="418">
        <f>SUM(J3:J6)</f>
        <v>72900</v>
      </c>
      <c r="K7" s="357">
        <v>2</v>
      </c>
    </row>
    <row r="8" spans="1:13" ht="17.25" thickBot="1">
      <c r="A8" s="358"/>
      <c r="B8" s="692"/>
      <c r="C8" s="417" t="s">
        <v>402</v>
      </c>
      <c r="D8" s="417" t="s">
        <v>276</v>
      </c>
      <c r="E8" s="364">
        <v>81900</v>
      </c>
      <c r="F8" s="358"/>
      <c r="G8" s="392" t="s">
        <v>574</v>
      </c>
      <c r="H8" s="391"/>
      <c r="I8" s="391"/>
      <c r="J8" s="416">
        <f>J7*19%</f>
        <v>13851</v>
      </c>
      <c r="K8" s="357">
        <v>3</v>
      </c>
    </row>
    <row r="9" spans="1:13" ht="17.25" thickBot="1">
      <c r="A9" s="358"/>
      <c r="B9" s="695" t="s">
        <v>573</v>
      </c>
      <c r="C9" s="696"/>
      <c r="D9" s="696"/>
      <c r="E9" s="697"/>
      <c r="G9" s="392" t="s">
        <v>572</v>
      </c>
      <c r="H9" s="391"/>
      <c r="I9" s="391"/>
      <c r="J9" s="416">
        <f>SUM(J7:J8)</f>
        <v>86751</v>
      </c>
      <c r="K9" s="357">
        <v>4</v>
      </c>
    </row>
    <row r="10" spans="1:13" ht="17.25" thickBot="1">
      <c r="A10" s="358"/>
      <c r="B10" s="698" t="s">
        <v>571</v>
      </c>
      <c r="C10" s="415" t="s">
        <v>570</v>
      </c>
      <c r="D10" s="414">
        <v>234500</v>
      </c>
      <c r="E10" s="413">
        <v>27900</v>
      </c>
      <c r="G10" s="410" t="s">
        <v>569</v>
      </c>
      <c r="H10" s="409">
        <v>0.01</v>
      </c>
      <c r="I10" s="408">
        <f>D11</f>
        <v>0</v>
      </c>
      <c r="J10" s="407">
        <f>H10*I10</f>
        <v>0</v>
      </c>
    </row>
    <row r="11" spans="1:13" ht="17.25" thickBot="1">
      <c r="A11" s="358"/>
      <c r="B11" s="698"/>
      <c r="C11" s="412" t="s">
        <v>104</v>
      </c>
      <c r="D11" s="411">
        <v>0</v>
      </c>
      <c r="E11" s="354"/>
      <c r="G11" s="410" t="s">
        <v>569</v>
      </c>
      <c r="H11" s="409">
        <v>0.01</v>
      </c>
      <c r="I11" s="408">
        <f>D11</f>
        <v>0</v>
      </c>
      <c r="J11" s="407">
        <f>H11*I11</f>
        <v>0</v>
      </c>
      <c r="K11" s="357">
        <f>SUM(K7:K9)</f>
        <v>9</v>
      </c>
    </row>
    <row r="12" spans="1:13" ht="41.25" hidden="1" customHeight="1" thickBot="1">
      <c r="A12" s="358"/>
      <c r="B12" s="698"/>
      <c r="C12" s="406" t="s">
        <v>588</v>
      </c>
      <c r="D12" s="435">
        <f>D11-D10</f>
        <v>-234500</v>
      </c>
      <c r="E12" s="434">
        <f>(D12*3/1000)+E10</f>
        <v>27196.5</v>
      </c>
    </row>
    <row r="13" spans="1:13" ht="17.25" thickBot="1">
      <c r="A13" s="358"/>
      <c r="B13" s="699"/>
      <c r="C13" s="700" t="s">
        <v>563</v>
      </c>
      <c r="D13" s="701"/>
      <c r="E13" s="405">
        <f t="array" ref="E13">_xlfn.IFS(D11=D10,E10,D11&lt;D10,E10,D11&gt;D10,E12)</f>
        <v>27900</v>
      </c>
      <c r="G13" s="394"/>
      <c r="I13" s="394"/>
      <c r="J13" s="394"/>
    </row>
    <row r="14" spans="1:13" ht="17.25" thickBot="1">
      <c r="A14" s="358"/>
      <c r="B14" s="702" t="s">
        <v>568</v>
      </c>
      <c r="C14" s="703"/>
      <c r="D14" s="703"/>
      <c r="E14" s="704"/>
      <c r="G14" s="394"/>
      <c r="H14" s="394"/>
      <c r="I14" s="394"/>
      <c r="J14" s="394"/>
    </row>
    <row r="15" spans="1:13">
      <c r="A15" s="358"/>
      <c r="B15" s="705" t="s">
        <v>567</v>
      </c>
      <c r="C15" s="404" t="s">
        <v>566</v>
      </c>
      <c r="D15" s="403">
        <v>1591.9</v>
      </c>
      <c r="E15" s="708" t="s">
        <v>276</v>
      </c>
      <c r="G15" s="394"/>
    </row>
    <row r="16" spans="1:13">
      <c r="A16" s="358"/>
      <c r="B16" s="706"/>
      <c r="C16" s="401" t="s">
        <v>565</v>
      </c>
      <c r="D16" s="402">
        <v>10951</v>
      </c>
      <c r="E16" s="709"/>
      <c r="G16" s="394"/>
      <c r="H16" s="394"/>
      <c r="I16" s="394"/>
    </row>
    <row r="17" spans="1:19">
      <c r="A17" s="358"/>
      <c r="B17" s="706"/>
      <c r="C17" s="401" t="s">
        <v>564</v>
      </c>
      <c r="D17" s="400">
        <f>D15*D16</f>
        <v>17432896.900000002</v>
      </c>
      <c r="E17" s="399">
        <f>E8</f>
        <v>81900</v>
      </c>
    </row>
    <row r="18" spans="1:19">
      <c r="A18" s="358"/>
      <c r="B18" s="706"/>
      <c r="C18" s="398" t="s">
        <v>104</v>
      </c>
      <c r="D18" s="397">
        <v>12170695612</v>
      </c>
      <c r="E18" s="396"/>
      <c r="G18" s="385"/>
    </row>
    <row r="19" spans="1:19" ht="17.25" thickBot="1">
      <c r="A19" s="358"/>
      <c r="B19" s="706"/>
      <c r="C19" s="395" t="s">
        <v>587</v>
      </c>
      <c r="D19" s="433">
        <f>D18-D17</f>
        <v>12153262715.1</v>
      </c>
      <c r="E19" s="432">
        <f>(D19*3.5/1000)+E17</f>
        <v>42618319.502849996</v>
      </c>
      <c r="G19" s="385"/>
    </row>
    <row r="20" spans="1:19" ht="17.25" thickBot="1">
      <c r="A20" s="358"/>
      <c r="B20" s="707"/>
      <c r="C20" s="710" t="s">
        <v>563</v>
      </c>
      <c r="D20" s="711"/>
      <c r="E20" s="393">
        <f>_xlfn.IFS(D18=D17,E17,D18&lt;D17,E17,D18&gt;D17,E19)</f>
        <v>42618319.502849996</v>
      </c>
      <c r="G20" s="666" t="s">
        <v>562</v>
      </c>
      <c r="H20" s="667"/>
      <c r="I20" s="667"/>
      <c r="J20" s="668"/>
    </row>
    <row r="21" spans="1:19" ht="25.15" customHeight="1" thickBot="1">
      <c r="A21" s="358"/>
      <c r="B21" s="365" t="s">
        <v>561</v>
      </c>
      <c r="C21" s="669" t="s">
        <v>560</v>
      </c>
      <c r="D21" s="669"/>
      <c r="E21" s="364">
        <v>5000</v>
      </c>
      <c r="G21" s="670" t="s">
        <v>559</v>
      </c>
      <c r="H21" s="671"/>
      <c r="I21" s="671"/>
      <c r="J21" s="672"/>
    </row>
    <row r="22" spans="1:19" ht="17.25" customHeight="1" thickBot="1">
      <c r="A22" s="358"/>
      <c r="G22" s="673" t="s">
        <v>558</v>
      </c>
      <c r="H22" s="674"/>
      <c r="I22" s="674"/>
      <c r="J22" s="675"/>
    </row>
    <row r="23" spans="1:19" ht="28.5" customHeight="1" thickBot="1">
      <c r="A23" s="358"/>
      <c r="B23" s="679" t="s">
        <v>557</v>
      </c>
      <c r="C23" s="680"/>
      <c r="D23" s="680"/>
      <c r="E23" s="681"/>
      <c r="G23" s="676"/>
      <c r="H23" s="677"/>
      <c r="I23" s="677"/>
      <c r="J23" s="678"/>
    </row>
    <row r="24" spans="1:19" ht="40.5" customHeight="1" thickBot="1">
      <c r="A24" s="358"/>
      <c r="B24" s="361" t="s">
        <v>556</v>
      </c>
      <c r="C24" s="712" t="s">
        <v>555</v>
      </c>
      <c r="D24" s="712"/>
      <c r="E24" s="360">
        <f>E8</f>
        <v>81900</v>
      </c>
      <c r="G24" s="713" t="s">
        <v>554</v>
      </c>
      <c r="H24" s="714"/>
      <c r="I24" s="715"/>
      <c r="J24" s="390">
        <v>5957900</v>
      </c>
      <c r="K24" s="389" t="s">
        <v>544</v>
      </c>
      <c r="L24" s="394">
        <f>E13-J24</f>
        <v>-5930000</v>
      </c>
      <c r="M24" s="357">
        <v>3344987</v>
      </c>
      <c r="N24" s="394">
        <f>M24-L24</f>
        <v>9274987</v>
      </c>
    </row>
    <row r="25" spans="1:19" ht="17.25" customHeight="1" thickBot="1">
      <c r="A25" s="358"/>
      <c r="G25" s="716"/>
      <c r="H25" s="717"/>
      <c r="I25" s="718"/>
      <c r="J25" s="388" t="str">
        <f>IF(J3-J24&gt;0,(J3-J24),K24)</f>
        <v>NO Genera Aporte Especial</v>
      </c>
      <c r="K25" s="387" t="s">
        <v>553</v>
      </c>
    </row>
    <row r="26" spans="1:19" ht="17.25" customHeight="1" thickBot="1">
      <c r="A26" s="358"/>
      <c r="B26" s="679" t="s">
        <v>552</v>
      </c>
      <c r="C26" s="680"/>
      <c r="D26" s="680"/>
      <c r="E26" s="681"/>
      <c r="G26" s="673" t="s">
        <v>551</v>
      </c>
      <c r="H26" s="674"/>
      <c r="I26" s="674"/>
      <c r="J26" s="675"/>
    </row>
    <row r="27" spans="1:19" ht="39.75" customHeight="1" thickBot="1">
      <c r="A27" s="358"/>
      <c r="B27" s="361" t="s">
        <v>550</v>
      </c>
      <c r="C27" s="712" t="s">
        <v>549</v>
      </c>
      <c r="D27" s="712"/>
      <c r="E27" s="360">
        <v>3800</v>
      </c>
      <c r="G27" s="676"/>
      <c r="H27" s="677"/>
      <c r="I27" s="677"/>
      <c r="J27" s="678"/>
    </row>
    <row r="28" spans="1:19" ht="43.5" customHeight="1" thickBot="1">
      <c r="A28" s="358"/>
      <c r="B28" s="365" t="s">
        <v>548</v>
      </c>
      <c r="C28" s="724" t="s">
        <v>547</v>
      </c>
      <c r="D28" s="724"/>
      <c r="E28" s="364">
        <v>2300</v>
      </c>
      <c r="G28" s="713" t="s">
        <v>546</v>
      </c>
      <c r="H28" s="714"/>
      <c r="I28" s="715"/>
      <c r="J28" s="390">
        <v>39658600</v>
      </c>
      <c r="K28" s="389" t="s">
        <v>545</v>
      </c>
    </row>
    <row r="29" spans="1:19" ht="24.75" customHeight="1" thickBot="1">
      <c r="A29" s="358"/>
      <c r="G29" s="716"/>
      <c r="H29" s="717"/>
      <c r="I29" s="718"/>
      <c r="J29" s="388" t="str">
        <f>_xlfn.IFS(K3=K28,(J3-J28),K3=K29,K29)</f>
        <v>NO Genera Aporte Especial</v>
      </c>
      <c r="K29" s="387" t="s">
        <v>544</v>
      </c>
      <c r="P29" s="386"/>
      <c r="Q29" s="386"/>
      <c r="R29" s="386"/>
      <c r="S29" s="386"/>
    </row>
    <row r="30" spans="1:19" ht="17.25" thickBot="1">
      <c r="A30" s="358"/>
      <c r="B30" s="682" t="s">
        <v>543</v>
      </c>
      <c r="C30" s="683"/>
      <c r="D30" s="683"/>
      <c r="E30" s="684"/>
    </row>
    <row r="31" spans="1:19" ht="60.75" customHeight="1">
      <c r="A31" s="358"/>
      <c r="B31" s="719" t="s">
        <v>542</v>
      </c>
      <c r="C31" s="721" t="s">
        <v>541</v>
      </c>
      <c r="D31" s="721"/>
      <c r="E31" s="383">
        <v>5000</v>
      </c>
      <c r="J31" s="385"/>
    </row>
    <row r="32" spans="1:19" ht="89.25" customHeight="1" thickBot="1">
      <c r="A32" s="358"/>
      <c r="B32" s="720"/>
      <c r="C32" s="722" t="s">
        <v>540</v>
      </c>
      <c r="D32" s="722"/>
      <c r="E32" s="384"/>
    </row>
    <row r="33" spans="1:5" ht="44.25" customHeight="1" thickBot="1">
      <c r="A33" s="358"/>
      <c r="B33" s="361" t="s">
        <v>539</v>
      </c>
      <c r="C33" s="723" t="s">
        <v>538</v>
      </c>
      <c r="D33" s="723"/>
      <c r="E33" s="360">
        <v>4700</v>
      </c>
    </row>
    <row r="34" spans="1:5" ht="17.25" thickBot="1">
      <c r="A34" s="358"/>
    </row>
    <row r="35" spans="1:5" ht="17.25" thickBot="1">
      <c r="A35" s="358"/>
      <c r="B35" s="682" t="s">
        <v>537</v>
      </c>
      <c r="C35" s="683"/>
      <c r="D35" s="683"/>
      <c r="E35" s="684"/>
    </row>
    <row r="36" spans="1:5" ht="82.5" customHeight="1">
      <c r="A36" s="358"/>
      <c r="B36" s="719" t="s">
        <v>536</v>
      </c>
      <c r="C36" s="721" t="s">
        <v>535</v>
      </c>
      <c r="D36" s="721"/>
      <c r="E36" s="383">
        <v>2600</v>
      </c>
    </row>
    <row r="37" spans="1:5" ht="52.5" customHeight="1" thickBot="1">
      <c r="A37" s="358"/>
      <c r="B37" s="720"/>
      <c r="C37" s="722" t="s">
        <v>534</v>
      </c>
      <c r="D37" s="722"/>
      <c r="E37" s="379">
        <v>4400</v>
      </c>
    </row>
    <row r="38" spans="1:5" ht="69.75" customHeight="1" thickBot="1">
      <c r="A38" s="358"/>
      <c r="B38" s="361" t="s">
        <v>533</v>
      </c>
      <c r="C38" s="723" t="s">
        <v>532</v>
      </c>
      <c r="D38" s="729"/>
      <c r="E38" s="382">
        <v>0.1</v>
      </c>
    </row>
    <row r="39" spans="1:5">
      <c r="A39" s="358"/>
      <c r="B39" s="719" t="s">
        <v>531</v>
      </c>
      <c r="C39" s="730" t="s">
        <v>530</v>
      </c>
      <c r="D39" s="731"/>
      <c r="E39" s="366">
        <v>9400</v>
      </c>
    </row>
    <row r="40" spans="1:5">
      <c r="B40" s="725"/>
      <c r="C40" s="732" t="s">
        <v>529</v>
      </c>
      <c r="D40" s="733"/>
      <c r="E40" s="381">
        <v>9400</v>
      </c>
    </row>
    <row r="41" spans="1:5" ht="29.25" customHeight="1" thickBot="1">
      <c r="B41" s="720"/>
      <c r="C41" s="724" t="s">
        <v>528</v>
      </c>
      <c r="D41" s="734"/>
      <c r="E41" s="371">
        <v>0.1</v>
      </c>
    </row>
    <row r="42" spans="1:5" ht="36" customHeight="1">
      <c r="B42" s="719" t="s">
        <v>527</v>
      </c>
      <c r="C42" s="740" t="s">
        <v>526</v>
      </c>
      <c r="D42" s="740"/>
      <c r="E42" s="741"/>
    </row>
    <row r="43" spans="1:5" ht="39" customHeight="1">
      <c r="B43" s="725"/>
      <c r="C43" s="726" t="s">
        <v>525</v>
      </c>
      <c r="D43" s="726"/>
      <c r="E43" s="381">
        <v>18000</v>
      </c>
    </row>
    <row r="44" spans="1:5" ht="46.5" customHeight="1" thickBot="1">
      <c r="B44" s="720"/>
      <c r="C44" s="724" t="s">
        <v>524</v>
      </c>
      <c r="D44" s="724"/>
      <c r="E44" s="364">
        <v>135500</v>
      </c>
    </row>
    <row r="45" spans="1:5" ht="17.25" thickBot="1"/>
    <row r="46" spans="1:5" ht="17.25" thickBot="1">
      <c r="B46" s="666" t="s">
        <v>523</v>
      </c>
      <c r="C46" s="667"/>
      <c r="D46" s="667"/>
      <c r="E46" s="668"/>
    </row>
    <row r="47" spans="1:5" ht="17.25" thickBot="1">
      <c r="B47" s="361" t="s">
        <v>522</v>
      </c>
      <c r="C47" s="728" t="s">
        <v>521</v>
      </c>
      <c r="D47" s="728"/>
      <c r="E47" s="360">
        <v>18000</v>
      </c>
    </row>
    <row r="48" spans="1:5" ht="17.25" thickBot="1"/>
    <row r="49" spans="2:5" ht="17.25" thickBot="1">
      <c r="B49" s="679" t="s">
        <v>520</v>
      </c>
      <c r="C49" s="680"/>
      <c r="D49" s="680"/>
      <c r="E49" s="681"/>
    </row>
    <row r="50" spans="2:5" ht="33.75" customHeight="1" thickBot="1">
      <c r="B50" s="361" t="s">
        <v>519</v>
      </c>
      <c r="C50" s="727" t="s">
        <v>518</v>
      </c>
      <c r="D50" s="727"/>
      <c r="E50" s="360">
        <v>9300</v>
      </c>
    </row>
    <row r="51" spans="2:5" ht="17.25" thickBot="1"/>
    <row r="52" spans="2:5" ht="17.25" thickBot="1">
      <c r="B52" s="679" t="s">
        <v>517</v>
      </c>
      <c r="C52" s="680"/>
      <c r="D52" s="680"/>
      <c r="E52" s="681"/>
    </row>
    <row r="53" spans="2:5" ht="33" customHeight="1" thickBot="1">
      <c r="B53" s="361" t="s">
        <v>516</v>
      </c>
      <c r="C53" s="727" t="s">
        <v>515</v>
      </c>
      <c r="D53" s="728"/>
      <c r="E53" s="370"/>
    </row>
    <row r="54" spans="2:5" ht="17.25" thickBot="1"/>
    <row r="55" spans="2:5" ht="17.25" thickBot="1">
      <c r="B55" s="679" t="s">
        <v>514</v>
      </c>
      <c r="C55" s="680"/>
      <c r="D55" s="680"/>
      <c r="E55" s="681"/>
    </row>
    <row r="56" spans="2:5" ht="48.75" customHeight="1" thickBot="1">
      <c r="B56" s="361" t="s">
        <v>513</v>
      </c>
      <c r="C56" s="712" t="s">
        <v>512</v>
      </c>
      <c r="D56" s="735"/>
      <c r="E56" s="370"/>
    </row>
    <row r="57" spans="2:5" ht="17.25" thickBot="1"/>
    <row r="58" spans="2:5" ht="17.25" thickBot="1">
      <c r="B58" s="679" t="s">
        <v>511</v>
      </c>
      <c r="C58" s="680"/>
      <c r="D58" s="680"/>
      <c r="E58" s="681"/>
    </row>
    <row r="59" spans="2:5" ht="32.25" customHeight="1">
      <c r="B59" s="725" t="s">
        <v>510</v>
      </c>
      <c r="C59" s="736" t="s">
        <v>509</v>
      </c>
      <c r="D59" s="737"/>
      <c r="E59" s="380">
        <v>58600</v>
      </c>
    </row>
    <row r="60" spans="2:5" ht="17.25" thickBot="1">
      <c r="B60" s="720"/>
      <c r="C60" s="738" t="s">
        <v>508</v>
      </c>
      <c r="D60" s="739"/>
      <c r="E60" s="379">
        <v>158100</v>
      </c>
    </row>
    <row r="61" spans="2:5" ht="17.25" thickBot="1"/>
    <row r="62" spans="2:5" ht="17.25" thickBot="1">
      <c r="B62" s="679" t="s">
        <v>507</v>
      </c>
      <c r="C62" s="680"/>
      <c r="D62" s="680"/>
      <c r="E62" s="681"/>
    </row>
    <row r="63" spans="2:5" ht="34.5" customHeight="1" thickBot="1">
      <c r="B63" s="361" t="s">
        <v>506</v>
      </c>
      <c r="C63" s="727" t="s">
        <v>505</v>
      </c>
      <c r="D63" s="727"/>
      <c r="E63" s="378" t="s">
        <v>474</v>
      </c>
    </row>
    <row r="64" spans="2:5" ht="17.25" thickBot="1">
      <c r="B64" s="377" t="s">
        <v>504</v>
      </c>
      <c r="C64" s="376"/>
      <c r="D64" s="376"/>
      <c r="E64" s="370"/>
    </row>
    <row r="65" spans="2:5" ht="17.25" thickBot="1"/>
    <row r="66" spans="2:5" ht="17.25" thickBot="1">
      <c r="B66" s="679" t="s">
        <v>503</v>
      </c>
      <c r="C66" s="680"/>
      <c r="D66" s="680"/>
      <c r="E66" s="681"/>
    </row>
    <row r="67" spans="2:5" ht="28.5" customHeight="1" thickBot="1">
      <c r="B67" s="361" t="s">
        <v>502</v>
      </c>
      <c r="C67" s="727" t="s">
        <v>501</v>
      </c>
      <c r="D67" s="727"/>
      <c r="E67" s="360">
        <f>E8</f>
        <v>81900</v>
      </c>
    </row>
    <row r="68" spans="2:5" ht="17.25" thickBot="1"/>
    <row r="69" spans="2:5" ht="17.25" thickBot="1">
      <c r="B69" s="679" t="s">
        <v>500</v>
      </c>
      <c r="C69" s="680"/>
      <c r="D69" s="680"/>
      <c r="E69" s="681"/>
    </row>
    <row r="70" spans="2:5" ht="39" customHeight="1" thickBot="1">
      <c r="B70" s="361" t="s">
        <v>499</v>
      </c>
      <c r="C70" s="712" t="s">
        <v>498</v>
      </c>
      <c r="D70" s="712"/>
      <c r="E70" s="370"/>
    </row>
    <row r="71" spans="2:5" ht="17.25" thickBot="1"/>
    <row r="72" spans="2:5" ht="17.25" thickBot="1">
      <c r="B72" s="679" t="s">
        <v>497</v>
      </c>
      <c r="C72" s="680"/>
      <c r="D72" s="680"/>
      <c r="E72" s="681"/>
    </row>
    <row r="73" spans="2:5" ht="17.25" thickBot="1">
      <c r="B73" s="361" t="s">
        <v>496</v>
      </c>
      <c r="C73" s="728" t="s">
        <v>495</v>
      </c>
      <c r="D73" s="728"/>
      <c r="E73" s="360">
        <v>18000</v>
      </c>
    </row>
    <row r="74" spans="2:5" ht="17.25" thickBot="1"/>
    <row r="75" spans="2:5" ht="17.25" thickBot="1">
      <c r="B75" s="679" t="s">
        <v>494</v>
      </c>
      <c r="C75" s="680"/>
      <c r="D75" s="680"/>
      <c r="E75" s="681"/>
    </row>
    <row r="76" spans="2:5" ht="45.75" customHeight="1" thickBot="1">
      <c r="B76" s="361" t="s">
        <v>493</v>
      </c>
      <c r="C76" s="712" t="s">
        <v>492</v>
      </c>
      <c r="D76" s="712"/>
      <c r="E76" s="742"/>
    </row>
    <row r="77" spans="2:5">
      <c r="B77" s="719" t="s">
        <v>491</v>
      </c>
      <c r="C77" s="693" t="s">
        <v>490</v>
      </c>
      <c r="D77" s="693"/>
      <c r="E77" s="375" t="s">
        <v>474</v>
      </c>
    </row>
    <row r="78" spans="2:5" ht="40.5" customHeight="1" thickBot="1">
      <c r="B78" s="720"/>
      <c r="C78" s="717" t="s">
        <v>489</v>
      </c>
      <c r="D78" s="743"/>
      <c r="E78" s="373"/>
    </row>
    <row r="79" spans="2:5">
      <c r="B79" s="719" t="s">
        <v>488</v>
      </c>
      <c r="C79" s="693" t="s">
        <v>487</v>
      </c>
      <c r="D79" s="693"/>
      <c r="E79" s="375" t="s">
        <v>474</v>
      </c>
    </row>
    <row r="80" spans="2:5" ht="27.75" customHeight="1" thickBot="1">
      <c r="B80" s="720"/>
      <c r="C80" s="717" t="s">
        <v>486</v>
      </c>
      <c r="D80" s="743"/>
      <c r="E80" s="364">
        <f>E8</f>
        <v>81900</v>
      </c>
    </row>
    <row r="81" spans="2:5">
      <c r="B81" s="719" t="s">
        <v>485</v>
      </c>
      <c r="C81" s="693" t="s">
        <v>484</v>
      </c>
      <c r="D81" s="693"/>
      <c r="E81" s="375" t="s">
        <v>474</v>
      </c>
    </row>
    <row r="82" spans="2:5" ht="53.25" customHeight="1" thickBot="1">
      <c r="B82" s="720"/>
      <c r="C82" s="717" t="s">
        <v>483</v>
      </c>
      <c r="D82" s="743"/>
      <c r="E82" s="364"/>
    </row>
    <row r="83" spans="2:5">
      <c r="B83" s="719" t="s">
        <v>482</v>
      </c>
      <c r="C83" s="693" t="s">
        <v>481</v>
      </c>
      <c r="D83" s="693"/>
      <c r="E83" s="375" t="s">
        <v>474</v>
      </c>
    </row>
    <row r="84" spans="2:5" ht="17.25" thickBot="1">
      <c r="B84" s="720"/>
      <c r="C84" s="669" t="s">
        <v>480</v>
      </c>
      <c r="D84" s="744"/>
      <c r="E84" s="364">
        <f>E8</f>
        <v>81900</v>
      </c>
    </row>
    <row r="85" spans="2:5">
      <c r="B85" s="719" t="s">
        <v>479</v>
      </c>
      <c r="C85" s="693" t="s">
        <v>478</v>
      </c>
      <c r="D85" s="693"/>
      <c r="E85" s="375" t="s">
        <v>474</v>
      </c>
    </row>
    <row r="86" spans="2:5" ht="39.75" customHeight="1" thickBot="1">
      <c r="B86" s="720"/>
      <c r="C86" s="717" t="s">
        <v>477</v>
      </c>
      <c r="D86" s="743"/>
      <c r="E86" s="364">
        <f>E8</f>
        <v>81900</v>
      </c>
    </row>
    <row r="87" spans="2:5">
      <c r="B87" s="719" t="s">
        <v>476</v>
      </c>
      <c r="C87" s="693" t="s">
        <v>475</v>
      </c>
      <c r="D87" s="693"/>
      <c r="E87" s="375" t="s">
        <v>474</v>
      </c>
    </row>
    <row r="88" spans="2:5" ht="51.75" customHeight="1" thickBot="1">
      <c r="B88" s="720"/>
      <c r="C88" s="717" t="s">
        <v>473</v>
      </c>
      <c r="D88" s="717"/>
      <c r="E88" s="373"/>
    </row>
    <row r="89" spans="2:5" ht="17.25" thickBot="1"/>
    <row r="90" spans="2:5" ht="36" customHeight="1" thickBot="1">
      <c r="B90" s="702" t="s">
        <v>472</v>
      </c>
      <c r="C90" s="703"/>
      <c r="D90" s="703"/>
      <c r="E90" s="704"/>
    </row>
    <row r="91" spans="2:5" ht="45" customHeight="1">
      <c r="B91" s="719" t="s">
        <v>471</v>
      </c>
      <c r="C91" s="740" t="s">
        <v>470</v>
      </c>
      <c r="D91" s="740"/>
      <c r="E91" s="374"/>
    </row>
    <row r="92" spans="2:5" ht="64.5" customHeight="1" thickBot="1">
      <c r="B92" s="720"/>
      <c r="C92" s="724" t="s">
        <v>469</v>
      </c>
      <c r="D92" s="724"/>
      <c r="E92" s="373"/>
    </row>
    <row r="93" spans="2:5" ht="17.25" thickBot="1"/>
    <row r="94" spans="2:5" ht="17.25" thickBot="1">
      <c r="B94" s="679" t="s">
        <v>468</v>
      </c>
      <c r="C94" s="680"/>
      <c r="D94" s="680"/>
      <c r="E94" s="681"/>
    </row>
    <row r="95" spans="2:5" ht="50.25" customHeight="1">
      <c r="B95" s="719" t="s">
        <v>467</v>
      </c>
      <c r="C95" s="740" t="s">
        <v>466</v>
      </c>
      <c r="D95" s="740"/>
      <c r="E95" s="374"/>
    </row>
    <row r="96" spans="2:5" ht="50.25" customHeight="1" thickBot="1">
      <c r="B96" s="720"/>
      <c r="C96" s="724" t="s">
        <v>465</v>
      </c>
      <c r="D96" s="724"/>
      <c r="E96" s="373"/>
    </row>
    <row r="97" spans="2:5" ht="17.25" thickBot="1"/>
    <row r="98" spans="2:5" ht="17.25" thickBot="1">
      <c r="B98" s="679" t="s">
        <v>464</v>
      </c>
      <c r="C98" s="680"/>
      <c r="D98" s="680"/>
      <c r="E98" s="681"/>
    </row>
    <row r="99" spans="2:5" ht="42" customHeight="1" thickBot="1">
      <c r="B99" s="361" t="s">
        <v>463</v>
      </c>
      <c r="C99" s="723" t="s">
        <v>462</v>
      </c>
      <c r="D99" s="723"/>
      <c r="E99" s="370"/>
    </row>
    <row r="100" spans="2:5" ht="17.25" thickBot="1">
      <c r="C100" s="733"/>
      <c r="D100" s="733"/>
    </row>
    <row r="101" spans="2:5" ht="17.25" thickBot="1">
      <c r="B101" s="679" t="s">
        <v>461</v>
      </c>
      <c r="C101" s="680"/>
      <c r="D101" s="680"/>
      <c r="E101" s="681"/>
    </row>
    <row r="102" spans="2:5" ht="25.5" customHeight="1" thickBot="1">
      <c r="B102" s="361" t="s">
        <v>460</v>
      </c>
      <c r="C102" s="723" t="s">
        <v>459</v>
      </c>
      <c r="D102" s="723"/>
      <c r="E102" s="370"/>
    </row>
    <row r="103" spans="2:5" ht="17.25" thickBot="1"/>
    <row r="104" spans="2:5" ht="17.25" thickBot="1">
      <c r="B104" s="679" t="s">
        <v>458</v>
      </c>
      <c r="C104" s="680"/>
      <c r="D104" s="680"/>
      <c r="E104" s="681"/>
    </row>
    <row r="105" spans="2:5" ht="29.25" customHeight="1" thickBot="1">
      <c r="B105" s="361" t="s">
        <v>457</v>
      </c>
      <c r="C105" s="727" t="s">
        <v>456</v>
      </c>
      <c r="D105" s="727"/>
      <c r="E105" s="370"/>
    </row>
    <row r="106" spans="2:5" ht="17.25" thickBot="1"/>
    <row r="107" spans="2:5" ht="17.25" thickBot="1">
      <c r="B107" s="679" t="s">
        <v>455</v>
      </c>
      <c r="C107" s="680"/>
      <c r="D107" s="680"/>
      <c r="E107" s="681"/>
    </row>
    <row r="108" spans="2:5" ht="51.75" customHeight="1" thickBot="1">
      <c r="B108" s="361" t="s">
        <v>454</v>
      </c>
      <c r="C108" s="723" t="s">
        <v>453</v>
      </c>
      <c r="D108" s="723"/>
      <c r="E108" s="370"/>
    </row>
    <row r="109" spans="2:5" ht="17.25" thickBot="1"/>
    <row r="110" spans="2:5" ht="17.25" thickBot="1">
      <c r="B110" s="679" t="s">
        <v>452</v>
      </c>
      <c r="C110" s="680"/>
      <c r="D110" s="680"/>
      <c r="E110" s="681"/>
    </row>
    <row r="111" spans="2:5" ht="61.5" customHeight="1" thickBot="1">
      <c r="B111" s="361" t="s">
        <v>451</v>
      </c>
      <c r="C111" s="723" t="s">
        <v>450</v>
      </c>
      <c r="D111" s="723"/>
      <c r="E111" s="370"/>
    </row>
    <row r="112" spans="2:5" ht="17.25" thickBot="1"/>
    <row r="113" spans="2:5" ht="17.25" thickBot="1">
      <c r="B113" s="679" t="s">
        <v>449</v>
      </c>
      <c r="C113" s="680"/>
      <c r="D113" s="680"/>
      <c r="E113" s="681"/>
    </row>
    <row r="114" spans="2:5" ht="38.25" customHeight="1" thickBot="1">
      <c r="B114" s="361" t="s">
        <v>448</v>
      </c>
      <c r="C114" s="723" t="s">
        <v>447</v>
      </c>
      <c r="D114" s="723"/>
      <c r="E114" s="370"/>
    </row>
    <row r="115" spans="2:5" ht="17.25" thickBot="1"/>
    <row r="116" spans="2:5" ht="17.25" thickBot="1">
      <c r="B116" s="679" t="s">
        <v>446</v>
      </c>
      <c r="C116" s="680"/>
      <c r="D116" s="680"/>
      <c r="E116" s="681"/>
    </row>
    <row r="117" spans="2:5" ht="83.25" customHeight="1" thickBot="1">
      <c r="B117" s="361" t="s">
        <v>445</v>
      </c>
      <c r="C117" s="723" t="s">
        <v>444</v>
      </c>
      <c r="D117" s="723"/>
      <c r="E117" s="370"/>
    </row>
    <row r="118" spans="2:5" ht="17.25" thickBot="1"/>
    <row r="119" spans="2:5" ht="17.25" thickBot="1">
      <c r="B119" s="679" t="s">
        <v>443</v>
      </c>
      <c r="C119" s="680"/>
      <c r="D119" s="680"/>
      <c r="E119" s="681"/>
    </row>
    <row r="120" spans="2:5" ht="51" customHeight="1" thickBot="1">
      <c r="B120" s="361" t="s">
        <v>442</v>
      </c>
      <c r="C120" s="723" t="s">
        <v>441</v>
      </c>
      <c r="D120" s="723"/>
      <c r="E120" s="370"/>
    </row>
    <row r="121" spans="2:5" ht="17.25" thickBot="1"/>
    <row r="122" spans="2:5" ht="17.25" thickBot="1">
      <c r="B122" s="679" t="s">
        <v>440</v>
      </c>
      <c r="C122" s="680"/>
      <c r="D122" s="680"/>
      <c r="E122" s="681"/>
    </row>
    <row r="123" spans="2:5" ht="30" customHeight="1" thickBot="1">
      <c r="B123" s="361" t="s">
        <v>439</v>
      </c>
      <c r="C123" s="727" t="s">
        <v>438</v>
      </c>
      <c r="D123" s="727"/>
      <c r="E123" s="370"/>
    </row>
    <row r="124" spans="2:5" ht="17.25" thickBot="1"/>
    <row r="125" spans="2:5" ht="17.25" thickBot="1">
      <c r="B125" s="679" t="s">
        <v>437</v>
      </c>
      <c r="C125" s="680"/>
      <c r="D125" s="680"/>
      <c r="E125" s="681"/>
    </row>
    <row r="126" spans="2:5" ht="44.25" customHeight="1" thickBot="1">
      <c r="B126" s="361" t="s">
        <v>436</v>
      </c>
      <c r="C126" s="723" t="s">
        <v>435</v>
      </c>
      <c r="D126" s="723"/>
      <c r="E126" s="370"/>
    </row>
    <row r="127" spans="2:5" ht="17.25" thickBot="1"/>
    <row r="128" spans="2:5" ht="17.25" thickBot="1">
      <c r="B128" s="679" t="s">
        <v>434</v>
      </c>
      <c r="C128" s="680"/>
      <c r="D128" s="680"/>
      <c r="E128" s="681"/>
    </row>
    <row r="129" spans="2:5" ht="40.5" customHeight="1" thickBot="1">
      <c r="B129" s="361" t="s">
        <v>433</v>
      </c>
      <c r="C129" s="723" t="s">
        <v>432</v>
      </c>
      <c r="D129" s="723"/>
      <c r="E129" s="370"/>
    </row>
    <row r="130" spans="2:5" ht="17.25" thickBot="1"/>
    <row r="131" spans="2:5" ht="17.25" thickBot="1">
      <c r="B131" s="368" t="s">
        <v>431</v>
      </c>
      <c r="C131" s="680" t="s">
        <v>430</v>
      </c>
      <c r="D131" s="680"/>
      <c r="E131" s="681"/>
    </row>
    <row r="132" spans="2:5" ht="30.75" customHeight="1">
      <c r="B132" s="719" t="s">
        <v>429</v>
      </c>
      <c r="C132" s="745" t="s">
        <v>428</v>
      </c>
      <c r="D132" s="745"/>
      <c r="E132" s="746">
        <v>18000</v>
      </c>
    </row>
    <row r="133" spans="2:5" ht="17.25" thickBot="1">
      <c r="B133" s="720"/>
      <c r="C133" s="744" t="s">
        <v>425</v>
      </c>
      <c r="D133" s="744"/>
      <c r="E133" s="747"/>
    </row>
    <row r="134" spans="2:5" ht="27.75" customHeight="1">
      <c r="B134" s="719" t="s">
        <v>427</v>
      </c>
      <c r="C134" s="745" t="s">
        <v>426</v>
      </c>
      <c r="D134" s="745"/>
      <c r="E134" s="746">
        <v>8900</v>
      </c>
    </row>
    <row r="135" spans="2:5" ht="17.25" thickBot="1">
      <c r="B135" s="720"/>
      <c r="C135" s="744" t="s">
        <v>425</v>
      </c>
      <c r="D135" s="744"/>
      <c r="E135" s="747"/>
    </row>
    <row r="136" spans="2:5" ht="24.75" customHeight="1">
      <c r="B136" s="719" t="s">
        <v>424</v>
      </c>
      <c r="C136" s="745" t="s">
        <v>423</v>
      </c>
      <c r="D136" s="745"/>
      <c r="E136" s="746">
        <v>3200</v>
      </c>
    </row>
    <row r="137" spans="2:5" ht="47.25" customHeight="1" thickBot="1">
      <c r="B137" s="720"/>
      <c r="C137" s="717" t="s">
        <v>422</v>
      </c>
      <c r="D137" s="743"/>
      <c r="E137" s="747"/>
    </row>
    <row r="138" spans="2:5" ht="17.25" thickBot="1"/>
    <row r="139" spans="2:5">
      <c r="B139" s="682" t="s">
        <v>421</v>
      </c>
      <c r="C139" s="683"/>
      <c r="D139" s="683"/>
      <c r="E139" s="684"/>
    </row>
    <row r="140" spans="2:5" ht="31.5" customHeight="1" thickBot="1">
      <c r="B140" s="365" t="s">
        <v>420</v>
      </c>
      <c r="C140" s="724" t="s">
        <v>419</v>
      </c>
      <c r="D140" s="724"/>
      <c r="E140" s="371"/>
    </row>
    <row r="141" spans="2:5" ht="53.25" customHeight="1" thickBot="1">
      <c r="B141" s="361" t="s">
        <v>418</v>
      </c>
      <c r="C141" s="723" t="s">
        <v>417</v>
      </c>
      <c r="D141" s="729"/>
      <c r="E141" s="370"/>
    </row>
    <row r="142" spans="2:5" ht="66" customHeight="1" thickBot="1">
      <c r="B142" s="361" t="s">
        <v>416</v>
      </c>
      <c r="C142" s="723" t="s">
        <v>415</v>
      </c>
      <c r="D142" s="729"/>
      <c r="E142" s="370"/>
    </row>
    <row r="143" spans="2:5" ht="45.75" customHeight="1" thickBot="1">
      <c r="B143" s="361" t="s">
        <v>414</v>
      </c>
      <c r="C143" s="723" t="s">
        <v>413</v>
      </c>
      <c r="D143" s="729"/>
      <c r="E143" s="360">
        <v>12300</v>
      </c>
    </row>
    <row r="144" spans="2:5" ht="17.25" thickBot="1"/>
    <row r="145" spans="2:5" ht="17.25" thickBot="1">
      <c r="B145" s="679" t="s">
        <v>412</v>
      </c>
      <c r="C145" s="680"/>
      <c r="D145" s="680"/>
      <c r="E145" s="681"/>
    </row>
    <row r="146" spans="2:5" ht="66" customHeight="1" thickBot="1">
      <c r="B146" s="361" t="s">
        <v>411</v>
      </c>
      <c r="C146" s="723" t="s">
        <v>410</v>
      </c>
      <c r="D146" s="723"/>
      <c r="E146" s="370"/>
    </row>
    <row r="147" spans="2:5" ht="17.25" thickBot="1"/>
    <row r="148" spans="2:5" ht="27.75" customHeight="1" thickBot="1">
      <c r="B148" s="702" t="s">
        <v>409</v>
      </c>
      <c r="C148" s="703"/>
      <c r="D148" s="703"/>
      <c r="E148" s="704"/>
    </row>
    <row r="149" spans="2:5" ht="92.25" customHeight="1" thickBot="1">
      <c r="B149" s="361" t="s">
        <v>408</v>
      </c>
      <c r="C149" s="723" t="s">
        <v>407</v>
      </c>
      <c r="D149" s="723"/>
      <c r="E149" s="370"/>
    </row>
    <row r="150" spans="2:5" ht="17.25" thickBot="1"/>
    <row r="151" spans="2:5" ht="17.25" thickBot="1">
      <c r="B151" s="702" t="s">
        <v>406</v>
      </c>
      <c r="C151" s="703"/>
      <c r="D151" s="703"/>
      <c r="E151" s="704"/>
    </row>
    <row r="152" spans="2:5" ht="34.5" customHeight="1" thickBot="1">
      <c r="B152" s="361" t="s">
        <v>405</v>
      </c>
      <c r="C152" s="723" t="s">
        <v>404</v>
      </c>
      <c r="D152" s="723"/>
      <c r="E152" s="369">
        <v>271300</v>
      </c>
    </row>
    <row r="153" spans="2:5" ht="17.25" thickBot="1"/>
    <row r="154" spans="2:5" ht="17.25" thickBot="1">
      <c r="B154" s="368" t="s">
        <v>403</v>
      </c>
      <c r="C154" s="680" t="s">
        <v>402</v>
      </c>
      <c r="D154" s="680"/>
      <c r="E154" s="681"/>
    </row>
    <row r="155" spans="2:5">
      <c r="B155" s="719" t="s">
        <v>401</v>
      </c>
      <c r="C155" s="745" t="s">
        <v>400</v>
      </c>
      <c r="D155" s="693"/>
      <c r="E155" s="746">
        <f>E8</f>
        <v>81900</v>
      </c>
    </row>
    <row r="156" spans="2:5" ht="135" customHeight="1" thickBot="1">
      <c r="B156" s="720"/>
      <c r="C156" s="748" t="s">
        <v>399</v>
      </c>
      <c r="D156" s="748"/>
      <c r="E156" s="747"/>
    </row>
    <row r="157" spans="2:5" ht="42" customHeight="1" thickBot="1">
      <c r="B157" s="367" t="s">
        <v>398</v>
      </c>
      <c r="C157" s="723" t="s">
        <v>397</v>
      </c>
      <c r="D157" s="729"/>
      <c r="E157" s="360">
        <f>E8</f>
        <v>81900</v>
      </c>
    </row>
    <row r="158" spans="2:5" ht="46.5" customHeight="1" thickBot="1">
      <c r="B158" s="367" t="s">
        <v>396</v>
      </c>
      <c r="C158" s="723" t="s">
        <v>395</v>
      </c>
      <c r="D158" s="729"/>
      <c r="E158" s="360">
        <f>E8</f>
        <v>81900</v>
      </c>
    </row>
    <row r="159" spans="2:5" ht="54.75" customHeight="1" thickBot="1">
      <c r="B159" s="367" t="s">
        <v>394</v>
      </c>
      <c r="C159" s="723" t="s">
        <v>393</v>
      </c>
      <c r="D159" s="723"/>
      <c r="E159" s="360">
        <f>E8</f>
        <v>81900</v>
      </c>
    </row>
    <row r="160" spans="2:5" ht="41.25" customHeight="1" thickBot="1">
      <c r="B160" s="367" t="s">
        <v>392</v>
      </c>
      <c r="C160" s="723" t="s">
        <v>391</v>
      </c>
      <c r="D160" s="729"/>
      <c r="E160" s="360">
        <f>E8</f>
        <v>81900</v>
      </c>
    </row>
    <row r="161" spans="2:5" ht="29.25" customHeight="1" thickBot="1">
      <c r="B161" s="367" t="s">
        <v>390</v>
      </c>
      <c r="C161" s="723" t="s">
        <v>389</v>
      </c>
      <c r="D161" s="729"/>
      <c r="E161" s="360">
        <f>E8</f>
        <v>81900</v>
      </c>
    </row>
    <row r="162" spans="2:5" ht="80.25" customHeight="1" thickBot="1">
      <c r="B162" s="367" t="s">
        <v>388</v>
      </c>
      <c r="C162" s="723" t="s">
        <v>387</v>
      </c>
      <c r="D162" s="723"/>
      <c r="E162" s="360">
        <f>E8</f>
        <v>81900</v>
      </c>
    </row>
    <row r="163" spans="2:5" ht="142.5" customHeight="1" thickBot="1">
      <c r="B163" s="367" t="s">
        <v>386</v>
      </c>
      <c r="C163" s="723" t="s">
        <v>385</v>
      </c>
      <c r="D163" s="723"/>
      <c r="E163" s="360">
        <f>E8</f>
        <v>81900</v>
      </c>
    </row>
    <row r="164" spans="2:5" ht="17.25" thickBot="1"/>
    <row r="165" spans="2:5" ht="17.25" thickBot="1">
      <c r="B165" s="702" t="s">
        <v>384</v>
      </c>
      <c r="C165" s="703"/>
      <c r="D165" s="703"/>
      <c r="E165" s="704"/>
    </row>
    <row r="166" spans="2:5">
      <c r="B166" s="719" t="s">
        <v>383</v>
      </c>
      <c r="C166" s="730" t="s">
        <v>382</v>
      </c>
      <c r="D166" s="730"/>
      <c r="E166" s="366">
        <v>58600</v>
      </c>
    </row>
    <row r="167" spans="2:5" ht="30" customHeight="1" thickBot="1">
      <c r="B167" s="720"/>
      <c r="C167" s="717" t="s">
        <v>381</v>
      </c>
      <c r="D167" s="717"/>
      <c r="E167" s="364">
        <v>10900</v>
      </c>
    </row>
    <row r="168" spans="2:5" ht="17.25" thickBot="1"/>
    <row r="169" spans="2:5" ht="29.25" customHeight="1" thickBot="1">
      <c r="B169" s="702" t="s">
        <v>380</v>
      </c>
      <c r="C169" s="703"/>
      <c r="D169" s="703"/>
      <c r="E169" s="704"/>
    </row>
    <row r="170" spans="2:5" ht="57" customHeight="1" thickBot="1">
      <c r="B170" s="361" t="s">
        <v>379</v>
      </c>
      <c r="C170" s="723" t="s">
        <v>378</v>
      </c>
      <c r="D170" s="723"/>
      <c r="E170" s="360">
        <v>9000</v>
      </c>
    </row>
    <row r="171" spans="2:5" ht="17.25" thickBot="1">
      <c r="B171" s="363"/>
      <c r="C171" s="732"/>
      <c r="D171" s="732"/>
      <c r="E171" s="362"/>
    </row>
    <row r="172" spans="2:5" ht="16.5" customHeight="1" thickBot="1">
      <c r="B172" s="702" t="s">
        <v>377</v>
      </c>
      <c r="C172" s="703"/>
      <c r="D172" s="703"/>
      <c r="E172" s="704"/>
    </row>
    <row r="173" spans="2:5" ht="40.5" customHeight="1" thickBot="1">
      <c r="B173" s="361" t="s">
        <v>376</v>
      </c>
      <c r="C173" s="712" t="s">
        <v>375</v>
      </c>
      <c r="D173" s="712"/>
      <c r="E173" s="742"/>
    </row>
    <row r="174" spans="2:5" ht="42.75" customHeight="1" thickBot="1">
      <c r="B174" s="361" t="s">
        <v>374</v>
      </c>
      <c r="C174" s="723" t="s">
        <v>373</v>
      </c>
      <c r="D174" s="723"/>
      <c r="E174" s="360">
        <v>9300</v>
      </c>
    </row>
    <row r="175" spans="2:5" ht="33" customHeight="1" thickBot="1">
      <c r="B175" s="361" t="s">
        <v>372</v>
      </c>
      <c r="C175" s="723" t="s">
        <v>371</v>
      </c>
      <c r="D175" s="723"/>
      <c r="E175" s="360">
        <v>2300</v>
      </c>
    </row>
  </sheetData>
  <sheetProtection formatCells="0"/>
  <mergeCells count="162">
    <mergeCell ref="B155:B156"/>
    <mergeCell ref="C155:D155"/>
    <mergeCell ref="E155:E156"/>
    <mergeCell ref="C156:D156"/>
    <mergeCell ref="C157:D157"/>
    <mergeCell ref="C158:D158"/>
    <mergeCell ref="C170:D170"/>
    <mergeCell ref="C171:D171"/>
    <mergeCell ref="C159:D159"/>
    <mergeCell ref="C160:D160"/>
    <mergeCell ref="C161:D161"/>
    <mergeCell ref="C162:D162"/>
    <mergeCell ref="C163:D163"/>
    <mergeCell ref="B165:E165"/>
    <mergeCell ref="B136:B137"/>
    <mergeCell ref="C136:D136"/>
    <mergeCell ref="E136:E137"/>
    <mergeCell ref="C137:D137"/>
    <mergeCell ref="B145:E145"/>
    <mergeCell ref="B172:E172"/>
    <mergeCell ref="C173:E173"/>
    <mergeCell ref="C174:D174"/>
    <mergeCell ref="C175:D175"/>
    <mergeCell ref="B166:B167"/>
    <mergeCell ref="C166:D166"/>
    <mergeCell ref="C167:D167"/>
    <mergeCell ref="B169:E169"/>
    <mergeCell ref="B148:E148"/>
    <mergeCell ref="C149:D149"/>
    <mergeCell ref="B151:E151"/>
    <mergeCell ref="C152:D152"/>
    <mergeCell ref="C154:E154"/>
    <mergeCell ref="B139:E139"/>
    <mergeCell ref="C140:D140"/>
    <mergeCell ref="C141:D141"/>
    <mergeCell ref="C142:D142"/>
    <mergeCell ref="C143:D143"/>
    <mergeCell ref="C146:D146"/>
    <mergeCell ref="B119:E119"/>
    <mergeCell ref="C120:D120"/>
    <mergeCell ref="B132:B133"/>
    <mergeCell ref="C132:D132"/>
    <mergeCell ref="E132:E133"/>
    <mergeCell ref="C133:D133"/>
    <mergeCell ref="B134:B135"/>
    <mergeCell ref="C134:D134"/>
    <mergeCell ref="E134:E135"/>
    <mergeCell ref="C135:D135"/>
    <mergeCell ref="C126:D126"/>
    <mergeCell ref="B128:E128"/>
    <mergeCell ref="C129:D129"/>
    <mergeCell ref="C131:E131"/>
    <mergeCell ref="C87:D87"/>
    <mergeCell ref="C88:D88"/>
    <mergeCell ref="B122:E122"/>
    <mergeCell ref="C123:D123"/>
    <mergeCell ref="B125:E125"/>
    <mergeCell ref="B94:E94"/>
    <mergeCell ref="B95:B96"/>
    <mergeCell ref="C95:D95"/>
    <mergeCell ref="C96:D96"/>
    <mergeCell ref="B98:E98"/>
    <mergeCell ref="C99:D99"/>
    <mergeCell ref="C100:D100"/>
    <mergeCell ref="B101:E101"/>
    <mergeCell ref="C102:D102"/>
    <mergeCell ref="B104:E104"/>
    <mergeCell ref="C105:D105"/>
    <mergeCell ref="B107:E107"/>
    <mergeCell ref="C108:D108"/>
    <mergeCell ref="B110:E110"/>
    <mergeCell ref="C111:D111"/>
    <mergeCell ref="B113:E113"/>
    <mergeCell ref="C114:D114"/>
    <mergeCell ref="B116:E116"/>
    <mergeCell ref="C117:D117"/>
    <mergeCell ref="B90:E90"/>
    <mergeCell ref="B91:B92"/>
    <mergeCell ref="C91:D91"/>
    <mergeCell ref="C92:D92"/>
    <mergeCell ref="B72:E72"/>
    <mergeCell ref="C73:D73"/>
    <mergeCell ref="B75:E75"/>
    <mergeCell ref="C76:E76"/>
    <mergeCell ref="B77:B78"/>
    <mergeCell ref="C77:D77"/>
    <mergeCell ref="C78:D78"/>
    <mergeCell ref="B79:B80"/>
    <mergeCell ref="C79:D79"/>
    <mergeCell ref="C80:D80"/>
    <mergeCell ref="B81:B82"/>
    <mergeCell ref="C81:D81"/>
    <mergeCell ref="C82:D82"/>
    <mergeCell ref="B83:B84"/>
    <mergeCell ref="C83:D83"/>
    <mergeCell ref="C84:D84"/>
    <mergeCell ref="B85:B86"/>
    <mergeCell ref="C85:D85"/>
    <mergeCell ref="C86:D86"/>
    <mergeCell ref="B87:B88"/>
    <mergeCell ref="C67:D67"/>
    <mergeCell ref="B69:E69"/>
    <mergeCell ref="C70:D70"/>
    <mergeCell ref="C47:D47"/>
    <mergeCell ref="B49:E49"/>
    <mergeCell ref="C50:D50"/>
    <mergeCell ref="B52:E52"/>
    <mergeCell ref="C53:D53"/>
    <mergeCell ref="C38:D38"/>
    <mergeCell ref="B39:B41"/>
    <mergeCell ref="C39:D39"/>
    <mergeCell ref="C40:D40"/>
    <mergeCell ref="C41:D41"/>
    <mergeCell ref="B55:E55"/>
    <mergeCell ref="C56:D56"/>
    <mergeCell ref="B58:E58"/>
    <mergeCell ref="B59:B60"/>
    <mergeCell ref="C59:D59"/>
    <mergeCell ref="C60:D60"/>
    <mergeCell ref="B62:E62"/>
    <mergeCell ref="C63:D63"/>
    <mergeCell ref="B66:E66"/>
    <mergeCell ref="C42:E42"/>
    <mergeCell ref="B35:E35"/>
    <mergeCell ref="B36:B37"/>
    <mergeCell ref="C36:D36"/>
    <mergeCell ref="C37:D37"/>
    <mergeCell ref="B26:E26"/>
    <mergeCell ref="B46:E46"/>
    <mergeCell ref="B42:B44"/>
    <mergeCell ref="C43:D43"/>
    <mergeCell ref="C44:D44"/>
    <mergeCell ref="C24:D24"/>
    <mergeCell ref="G24:I25"/>
    <mergeCell ref="B31:B32"/>
    <mergeCell ref="C31:D31"/>
    <mergeCell ref="C32:D32"/>
    <mergeCell ref="C33:D33"/>
    <mergeCell ref="G26:J27"/>
    <mergeCell ref="C27:D27"/>
    <mergeCell ref="C28:D28"/>
    <mergeCell ref="G28:I29"/>
    <mergeCell ref="B30:E30"/>
    <mergeCell ref="G20:J20"/>
    <mergeCell ref="C21:D21"/>
    <mergeCell ref="G21:J21"/>
    <mergeCell ref="G22:J23"/>
    <mergeCell ref="B23:E23"/>
    <mergeCell ref="G1:J1"/>
    <mergeCell ref="B2:E2"/>
    <mergeCell ref="B3:E3"/>
    <mergeCell ref="B4:E4"/>
    <mergeCell ref="B6:E6"/>
    <mergeCell ref="B7:B8"/>
    <mergeCell ref="C7:E7"/>
    <mergeCell ref="B9:E9"/>
    <mergeCell ref="B10:B13"/>
    <mergeCell ref="C13:D13"/>
    <mergeCell ref="B14:E14"/>
    <mergeCell ref="B15:B20"/>
    <mergeCell ref="E15:E16"/>
    <mergeCell ref="C20:D20"/>
  </mergeCells>
  <pageMargins left="0.7" right="0.7" top="0.75" bottom="0.75" header="0.3" footer="0.3"/>
  <pageSetup paperSize="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5"/>
  <dimension ref="A1:C68"/>
  <sheetViews>
    <sheetView topLeftCell="A49" workbookViewId="0">
      <selection activeCell="A56" sqref="A56:C68"/>
    </sheetView>
  </sheetViews>
  <sheetFormatPr baseColWidth="10" defaultColWidth="11.42578125" defaultRowHeight="15.75"/>
  <cols>
    <col min="1" max="1" width="11.42578125" style="1"/>
    <col min="2" max="2" width="17" style="1" bestFit="1" customWidth="1"/>
    <col min="3" max="3" width="17.42578125" style="1" bestFit="1" customWidth="1"/>
    <col min="4" max="16384" width="11.42578125" style="1"/>
  </cols>
  <sheetData>
    <row r="1" spans="1:3">
      <c r="B1" s="6"/>
      <c r="C1" s="2"/>
    </row>
    <row r="2" spans="1:3">
      <c r="A2" s="7" t="s">
        <v>31</v>
      </c>
    </row>
    <row r="3" spans="1:3">
      <c r="A3" s="8" t="s">
        <v>0</v>
      </c>
      <c r="B3" s="8" t="s">
        <v>13</v>
      </c>
      <c r="C3" s="8" t="s">
        <v>11</v>
      </c>
    </row>
    <row r="4" spans="1:3">
      <c r="A4" s="3" t="s">
        <v>17</v>
      </c>
      <c r="B4" s="5">
        <v>43350</v>
      </c>
      <c r="C4" s="4" t="s">
        <v>51</v>
      </c>
    </row>
    <row r="5" spans="1:3">
      <c r="A5" s="3" t="s">
        <v>18</v>
      </c>
      <c r="B5" s="5">
        <v>43381</v>
      </c>
      <c r="C5" s="4" t="s">
        <v>51</v>
      </c>
    </row>
    <row r="6" spans="1:3">
      <c r="A6" s="3" t="s">
        <v>19</v>
      </c>
      <c r="B6" s="5">
        <v>43412</v>
      </c>
      <c r="C6" s="4" t="s">
        <v>51</v>
      </c>
    </row>
    <row r="7" spans="1:3">
      <c r="A7" s="3" t="s">
        <v>20</v>
      </c>
      <c r="B7" s="5">
        <v>43441</v>
      </c>
      <c r="C7" s="4" t="s">
        <v>51</v>
      </c>
    </row>
    <row r="8" spans="1:3">
      <c r="A8" s="3" t="s">
        <v>21</v>
      </c>
      <c r="B8" s="5">
        <v>43473</v>
      </c>
      <c r="C8" s="4" t="s">
        <v>51</v>
      </c>
    </row>
    <row r="9" spans="1:3">
      <c r="B9" s="2"/>
      <c r="C9" s="2"/>
    </row>
    <row r="10" spans="1:3">
      <c r="A10" s="7" t="s">
        <v>32</v>
      </c>
    </row>
    <row r="11" spans="1:3">
      <c r="A11" s="8" t="s">
        <v>0</v>
      </c>
      <c r="B11" s="8" t="s">
        <v>13</v>
      </c>
      <c r="C11" s="8" t="s">
        <v>11</v>
      </c>
    </row>
    <row r="12" spans="1:3">
      <c r="A12" s="3" t="s">
        <v>9</v>
      </c>
      <c r="B12" s="5">
        <v>43502</v>
      </c>
      <c r="C12" s="4" t="s">
        <v>64</v>
      </c>
    </row>
    <row r="13" spans="1:3">
      <c r="A13" s="3" t="s">
        <v>23</v>
      </c>
      <c r="B13" s="5">
        <v>43531</v>
      </c>
      <c r="C13" s="4" t="s">
        <v>64</v>
      </c>
    </row>
    <row r="14" spans="1:3">
      <c r="A14" s="3" t="s">
        <v>24</v>
      </c>
      <c r="B14" s="5" t="s">
        <v>52</v>
      </c>
      <c r="C14" s="4" t="s">
        <v>64</v>
      </c>
    </row>
    <row r="15" spans="1:3">
      <c r="A15" s="3" t="s">
        <v>25</v>
      </c>
      <c r="B15" s="5">
        <v>43594</v>
      </c>
      <c r="C15" s="4" t="s">
        <v>64</v>
      </c>
    </row>
    <row r="16" spans="1:3">
      <c r="A16" s="3" t="s">
        <v>14</v>
      </c>
      <c r="B16" s="5" t="s">
        <v>53</v>
      </c>
      <c r="C16" s="4" t="s">
        <v>64</v>
      </c>
    </row>
    <row r="17" spans="1:3">
      <c r="A17" s="3" t="s">
        <v>15</v>
      </c>
      <c r="B17" s="5">
        <v>43654</v>
      </c>
      <c r="C17" s="4" t="s">
        <v>64</v>
      </c>
    </row>
    <row r="18" spans="1:3">
      <c r="A18" s="3" t="s">
        <v>16</v>
      </c>
      <c r="B18" s="5">
        <v>43685</v>
      </c>
      <c r="C18" s="4" t="s">
        <v>64</v>
      </c>
    </row>
    <row r="19" spans="1:3">
      <c r="A19" s="3" t="s">
        <v>17</v>
      </c>
      <c r="B19" s="5">
        <v>43714</v>
      </c>
      <c r="C19" s="4" t="s">
        <v>64</v>
      </c>
    </row>
    <row r="20" spans="1:3">
      <c r="A20" s="3" t="s">
        <v>18</v>
      </c>
      <c r="B20" s="5">
        <v>43745</v>
      </c>
      <c r="C20" s="4" t="s">
        <v>64</v>
      </c>
    </row>
    <row r="21" spans="1:3">
      <c r="A21" s="3" t="s">
        <v>19</v>
      </c>
      <c r="B21" s="5">
        <v>43777</v>
      </c>
      <c r="C21" s="4" t="s">
        <v>64</v>
      </c>
    </row>
    <row r="22" spans="1:3">
      <c r="A22" s="3" t="s">
        <v>20</v>
      </c>
      <c r="B22" s="5">
        <v>43808</v>
      </c>
      <c r="C22" s="4" t="s">
        <v>64</v>
      </c>
    </row>
    <row r="23" spans="1:3">
      <c r="A23" s="3" t="s">
        <v>21</v>
      </c>
      <c r="B23" s="5">
        <v>43839</v>
      </c>
      <c r="C23" s="4" t="s">
        <v>64</v>
      </c>
    </row>
    <row r="24" spans="1:3">
      <c r="B24" s="2"/>
      <c r="C24" s="2"/>
    </row>
    <row r="25" spans="1:3">
      <c r="A25" s="7" t="s">
        <v>40</v>
      </c>
    </row>
    <row r="26" spans="1:3">
      <c r="A26" s="8" t="s">
        <v>0</v>
      </c>
      <c r="B26" s="8" t="s">
        <v>13</v>
      </c>
      <c r="C26" s="8" t="s">
        <v>11</v>
      </c>
    </row>
    <row r="27" spans="1:3">
      <c r="A27" s="3" t="s">
        <v>9</v>
      </c>
      <c r="B27" s="5">
        <v>43865</v>
      </c>
      <c r="C27" s="4" t="s">
        <v>58</v>
      </c>
    </row>
    <row r="28" spans="1:3">
      <c r="A28" s="3" t="s">
        <v>23</v>
      </c>
      <c r="B28" s="5">
        <v>43895</v>
      </c>
      <c r="C28" s="4" t="s">
        <v>58</v>
      </c>
    </row>
    <row r="29" spans="1:3">
      <c r="A29" s="3" t="s">
        <v>24</v>
      </c>
      <c r="B29" s="5">
        <v>44083</v>
      </c>
      <c r="C29" s="749" t="s">
        <v>54</v>
      </c>
    </row>
    <row r="30" spans="1:3">
      <c r="A30" s="3" t="s">
        <v>25</v>
      </c>
      <c r="B30" s="5">
        <v>44083</v>
      </c>
      <c r="C30" s="749"/>
    </row>
    <row r="31" spans="1:3">
      <c r="A31" s="3" t="s">
        <v>14</v>
      </c>
      <c r="B31" s="5">
        <v>44083</v>
      </c>
      <c r="C31" s="749"/>
    </row>
    <row r="32" spans="1:3">
      <c r="A32" s="3" t="s">
        <v>15</v>
      </c>
      <c r="B32" s="5">
        <v>44083</v>
      </c>
      <c r="C32" s="749"/>
    </row>
    <row r="33" spans="1:3">
      <c r="A33" s="3" t="s">
        <v>16</v>
      </c>
      <c r="B33" s="5">
        <v>44083</v>
      </c>
      <c r="C33" s="749"/>
    </row>
    <row r="34" spans="1:3">
      <c r="A34" s="3" t="s">
        <v>17</v>
      </c>
      <c r="B34" s="5">
        <v>44083</v>
      </c>
      <c r="C34" s="749"/>
    </row>
    <row r="35" spans="1:3">
      <c r="A35" s="3" t="s">
        <v>18</v>
      </c>
      <c r="B35" s="5">
        <v>44112</v>
      </c>
      <c r="C35" s="4" t="s">
        <v>58</v>
      </c>
    </row>
    <row r="36" spans="1:3">
      <c r="A36" s="3" t="s">
        <v>19</v>
      </c>
      <c r="B36" s="5">
        <v>44144</v>
      </c>
      <c r="C36" s="4" t="s">
        <v>58</v>
      </c>
    </row>
    <row r="37" spans="1:3">
      <c r="A37" s="3" t="s">
        <v>20</v>
      </c>
      <c r="B37" s="5">
        <v>44174</v>
      </c>
      <c r="C37" s="4" t="s">
        <v>58</v>
      </c>
    </row>
    <row r="38" spans="1:3">
      <c r="A38" s="3" t="s">
        <v>21</v>
      </c>
      <c r="B38" s="5">
        <v>44204</v>
      </c>
      <c r="C38" s="4" t="s">
        <v>58</v>
      </c>
    </row>
    <row r="39" spans="1:3">
      <c r="B39" s="2"/>
      <c r="C39" s="2"/>
    </row>
    <row r="40" spans="1:3">
      <c r="A40" s="7" t="s">
        <v>41</v>
      </c>
    </row>
    <row r="41" spans="1:3">
      <c r="A41" s="8" t="s">
        <v>0</v>
      </c>
      <c r="B41" s="8" t="s">
        <v>13</v>
      </c>
      <c r="C41" s="8" t="s">
        <v>11</v>
      </c>
    </row>
    <row r="42" spans="1:3">
      <c r="A42" s="3" t="s">
        <v>9</v>
      </c>
      <c r="B42" s="17">
        <v>44232</v>
      </c>
      <c r="C42" s="4" t="s">
        <v>51</v>
      </c>
    </row>
    <row r="43" spans="1:3">
      <c r="A43" s="3" t="s">
        <v>23</v>
      </c>
      <c r="B43" s="17">
        <v>44260</v>
      </c>
      <c r="C43" s="4" t="s">
        <v>51</v>
      </c>
    </row>
    <row r="44" spans="1:3">
      <c r="A44" s="3" t="s">
        <v>24</v>
      </c>
      <c r="B44" s="17">
        <v>44295</v>
      </c>
      <c r="C44" s="4" t="s">
        <v>51</v>
      </c>
    </row>
    <row r="45" spans="1:3">
      <c r="A45" s="3" t="s">
        <v>25</v>
      </c>
      <c r="B45" s="5">
        <v>44326</v>
      </c>
      <c r="C45" s="4" t="s">
        <v>51</v>
      </c>
    </row>
    <row r="46" spans="1:3">
      <c r="A46" s="3" t="s">
        <v>14</v>
      </c>
      <c r="B46" s="5">
        <v>44351</v>
      </c>
      <c r="C46" s="4" t="s">
        <v>51</v>
      </c>
    </row>
    <row r="47" spans="1:3">
      <c r="A47" s="3" t="s">
        <v>15</v>
      </c>
      <c r="B47" s="5">
        <v>44386</v>
      </c>
      <c r="C47" s="4" t="s">
        <v>51</v>
      </c>
    </row>
    <row r="48" spans="1:3">
      <c r="A48" s="3" t="s">
        <v>16</v>
      </c>
      <c r="B48" s="5">
        <v>44413</v>
      </c>
      <c r="C48" s="4" t="s">
        <v>51</v>
      </c>
    </row>
    <row r="49" spans="1:3">
      <c r="A49" s="3" t="s">
        <v>17</v>
      </c>
      <c r="B49" s="5">
        <v>44445</v>
      </c>
      <c r="C49" s="4" t="s">
        <v>51</v>
      </c>
    </row>
    <row r="50" spans="1:3">
      <c r="A50" s="3" t="s">
        <v>18</v>
      </c>
      <c r="B50" s="5">
        <v>44481</v>
      </c>
      <c r="C50" s="4" t="s">
        <v>51</v>
      </c>
    </row>
    <row r="51" spans="1:3">
      <c r="A51" s="3" t="s">
        <v>19</v>
      </c>
      <c r="B51" s="5">
        <v>44511</v>
      </c>
      <c r="C51" s="4" t="s">
        <v>51</v>
      </c>
    </row>
    <row r="52" spans="1:3">
      <c r="A52" s="3" t="s">
        <v>20</v>
      </c>
      <c r="B52" s="5" t="s">
        <v>55</v>
      </c>
      <c r="C52" s="4" t="s">
        <v>51</v>
      </c>
    </row>
    <row r="53" spans="1:3">
      <c r="A53" s="3" t="s">
        <v>21</v>
      </c>
      <c r="B53" s="5">
        <v>44566</v>
      </c>
      <c r="C53" s="4" t="s">
        <v>51</v>
      </c>
    </row>
    <row r="54" spans="1:3">
      <c r="B54" s="2"/>
      <c r="C54" s="2"/>
    </row>
    <row r="55" spans="1:3">
      <c r="A55" s="7" t="s">
        <v>42</v>
      </c>
    </row>
    <row r="56" spans="1:3">
      <c r="A56" s="8" t="s">
        <v>0</v>
      </c>
      <c r="B56" s="8" t="s">
        <v>13</v>
      </c>
      <c r="C56" s="26" t="s">
        <v>11</v>
      </c>
    </row>
    <row r="57" spans="1:3">
      <c r="A57" s="3" t="s">
        <v>9</v>
      </c>
      <c r="B57" s="13">
        <v>44596</v>
      </c>
      <c r="C57" s="4" t="s">
        <v>58</v>
      </c>
    </row>
    <row r="58" spans="1:3">
      <c r="A58" s="3" t="s">
        <v>23</v>
      </c>
      <c r="B58" s="13">
        <v>44627</v>
      </c>
      <c r="C58" s="4" t="s">
        <v>58</v>
      </c>
    </row>
    <row r="59" spans="1:3">
      <c r="A59" s="3" t="s">
        <v>24</v>
      </c>
      <c r="B59" s="13">
        <v>44658</v>
      </c>
      <c r="C59" s="4" t="s">
        <v>58</v>
      </c>
    </row>
    <row r="60" spans="1:3">
      <c r="A60" s="3" t="s">
        <v>25</v>
      </c>
      <c r="B60" s="13">
        <v>44690</v>
      </c>
      <c r="C60" s="4" t="s">
        <v>58</v>
      </c>
    </row>
    <row r="61" spans="1:3">
      <c r="A61" s="3" t="s">
        <v>14</v>
      </c>
      <c r="B61" s="13">
        <v>44718</v>
      </c>
      <c r="C61" s="4" t="s">
        <v>58</v>
      </c>
    </row>
    <row r="62" spans="1:3">
      <c r="A62" s="3" t="s">
        <v>15</v>
      </c>
      <c r="B62" s="13">
        <v>44750</v>
      </c>
      <c r="C62" s="4" t="s">
        <v>58</v>
      </c>
    </row>
    <row r="63" spans="1:3">
      <c r="A63" s="3" t="s">
        <v>16</v>
      </c>
      <c r="B63" s="13">
        <v>44778</v>
      </c>
      <c r="C63" s="4" t="s">
        <v>58</v>
      </c>
    </row>
    <row r="64" spans="1:3">
      <c r="A64" s="3" t="s">
        <v>17</v>
      </c>
      <c r="B64" s="13">
        <v>44811</v>
      </c>
      <c r="C64" s="4" t="s">
        <v>58</v>
      </c>
    </row>
    <row r="65" spans="1:3">
      <c r="A65" s="3" t="s">
        <v>18</v>
      </c>
      <c r="B65" s="13">
        <v>44844</v>
      </c>
      <c r="C65" s="4" t="s">
        <v>58</v>
      </c>
    </row>
    <row r="66" spans="1:3">
      <c r="A66" s="3" t="s">
        <v>46</v>
      </c>
      <c r="B66" s="13">
        <v>44876</v>
      </c>
      <c r="C66" s="4" t="s">
        <v>58</v>
      </c>
    </row>
    <row r="67" spans="1:3">
      <c r="A67" s="3" t="s">
        <v>20</v>
      </c>
      <c r="B67" s="13">
        <v>44910</v>
      </c>
      <c r="C67" s="4" t="s">
        <v>58</v>
      </c>
    </row>
    <row r="68" spans="1:3">
      <c r="A68" s="3" t="s">
        <v>21</v>
      </c>
      <c r="B68" s="13">
        <v>44932</v>
      </c>
      <c r="C68" s="4" t="s">
        <v>58</v>
      </c>
    </row>
  </sheetData>
  <mergeCells count="1">
    <mergeCell ref="C29:C34"/>
  </mergeCells>
  <phoneticPr fontId="12" type="noConversion"/>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6">
    <pageSetUpPr fitToPage="1"/>
  </sheetPr>
  <dimension ref="A1:C29"/>
  <sheetViews>
    <sheetView topLeftCell="A11" workbookViewId="0">
      <selection activeCell="A28" sqref="A28"/>
    </sheetView>
  </sheetViews>
  <sheetFormatPr baseColWidth="10" defaultColWidth="11.42578125" defaultRowHeight="15.75"/>
  <cols>
    <col min="1" max="1" width="17.7109375" style="1" bestFit="1" customWidth="1"/>
    <col min="2" max="2" width="17" style="1" bestFit="1" customWidth="1"/>
    <col min="3" max="3" width="17.42578125" style="1" bestFit="1" customWidth="1"/>
    <col min="4" max="16384" width="11.42578125" style="1"/>
  </cols>
  <sheetData>
    <row r="1" spans="1:3" ht="31.5" customHeight="1">
      <c r="A1" s="750" t="s">
        <v>33</v>
      </c>
      <c r="B1" s="750"/>
      <c r="C1" s="750"/>
    </row>
    <row r="3" spans="1:3">
      <c r="A3" s="9" t="s">
        <v>31</v>
      </c>
      <c r="B3" s="9"/>
      <c r="C3" s="9"/>
    </row>
    <row r="4" spans="1:3">
      <c r="A4" s="8" t="s">
        <v>0</v>
      </c>
      <c r="B4" s="8" t="s">
        <v>13</v>
      </c>
      <c r="C4" s="8" t="s">
        <v>11</v>
      </c>
    </row>
    <row r="5" spans="1:3">
      <c r="A5" s="3" t="s">
        <v>59</v>
      </c>
      <c r="B5" s="4" t="s">
        <v>57</v>
      </c>
      <c r="C5" s="3" t="s">
        <v>57</v>
      </c>
    </row>
    <row r="7" spans="1:3">
      <c r="A7" s="9" t="s">
        <v>32</v>
      </c>
      <c r="B7" s="9"/>
      <c r="C7" s="9"/>
    </row>
    <row r="8" spans="1:3">
      <c r="A8" s="8" t="s">
        <v>0</v>
      </c>
      <c r="B8" s="8" t="s">
        <v>13</v>
      </c>
      <c r="C8" s="8" t="s">
        <v>11</v>
      </c>
    </row>
    <row r="9" spans="1:3">
      <c r="A9" s="3" t="s">
        <v>60</v>
      </c>
      <c r="B9" s="4" t="s">
        <v>57</v>
      </c>
      <c r="C9" s="3" t="s">
        <v>57</v>
      </c>
    </row>
    <row r="10" spans="1:3">
      <c r="A10" s="3" t="s">
        <v>25</v>
      </c>
      <c r="B10" s="5">
        <v>43592</v>
      </c>
      <c r="C10" s="3" t="s">
        <v>58</v>
      </c>
    </row>
    <row r="11" spans="1:3">
      <c r="A11" s="3" t="s">
        <v>61</v>
      </c>
      <c r="B11" s="4" t="s">
        <v>57</v>
      </c>
      <c r="C11" s="3" t="s">
        <v>57</v>
      </c>
    </row>
    <row r="12" spans="1:3">
      <c r="A12" s="3" t="s">
        <v>17</v>
      </c>
      <c r="B12" s="5">
        <v>43714</v>
      </c>
      <c r="C12" s="3" t="s">
        <v>58</v>
      </c>
    </row>
    <row r="13" spans="1:3">
      <c r="A13" s="3" t="s">
        <v>18</v>
      </c>
      <c r="B13" s="5">
        <v>43742</v>
      </c>
      <c r="C13" s="3" t="s">
        <v>58</v>
      </c>
    </row>
    <row r="14" spans="1:3">
      <c r="A14" s="3" t="s">
        <v>19</v>
      </c>
      <c r="B14" s="4" t="s">
        <v>57</v>
      </c>
      <c r="C14" s="3" t="s">
        <v>57</v>
      </c>
    </row>
    <row r="15" spans="1:3">
      <c r="A15" s="3" t="s">
        <v>20</v>
      </c>
      <c r="B15" s="5">
        <v>43803</v>
      </c>
      <c r="C15" s="3" t="s">
        <v>58</v>
      </c>
    </row>
    <row r="16" spans="1:3">
      <c r="A16" s="3" t="s">
        <v>21</v>
      </c>
      <c r="B16" s="4" t="s">
        <v>57</v>
      </c>
      <c r="C16" s="3" t="s">
        <v>57</v>
      </c>
    </row>
    <row r="18" spans="1:3">
      <c r="A18" s="9" t="s">
        <v>40</v>
      </c>
      <c r="B18" s="9"/>
      <c r="C18" s="9"/>
    </row>
    <row r="19" spans="1:3">
      <c r="A19" s="8" t="s">
        <v>0</v>
      </c>
      <c r="B19" s="8" t="s">
        <v>13</v>
      </c>
      <c r="C19" s="8" t="s">
        <v>11</v>
      </c>
    </row>
    <row r="20" spans="1:3">
      <c r="A20" s="3" t="s">
        <v>56</v>
      </c>
      <c r="B20" s="5">
        <v>44169</v>
      </c>
      <c r="C20" s="3" t="s">
        <v>58</v>
      </c>
    </row>
    <row r="23" spans="1:3">
      <c r="A23" s="9" t="s">
        <v>41</v>
      </c>
    </row>
    <row r="24" spans="1:3">
      <c r="A24" s="8" t="s">
        <v>0</v>
      </c>
      <c r="B24" s="8" t="s">
        <v>13</v>
      </c>
      <c r="C24" s="8" t="s">
        <v>11</v>
      </c>
    </row>
    <row r="25" spans="1:3">
      <c r="A25" s="3" t="s">
        <v>62</v>
      </c>
      <c r="B25" s="3" t="s">
        <v>58</v>
      </c>
      <c r="C25" s="3" t="s">
        <v>58</v>
      </c>
    </row>
    <row r="27" spans="1:3">
      <c r="A27" s="9" t="s">
        <v>42</v>
      </c>
    </row>
    <row r="28" spans="1:3">
      <c r="A28" s="8" t="s">
        <v>0</v>
      </c>
      <c r="B28" s="8" t="s">
        <v>13</v>
      </c>
      <c r="C28" s="8" t="s">
        <v>11</v>
      </c>
    </row>
    <row r="29" spans="1:3">
      <c r="A29" s="3" t="s">
        <v>62</v>
      </c>
      <c r="B29" s="3" t="s">
        <v>58</v>
      </c>
      <c r="C29" s="3" t="s">
        <v>58</v>
      </c>
    </row>
  </sheetData>
  <mergeCells count="1">
    <mergeCell ref="A1:C1"/>
  </mergeCells>
  <pageMargins left="0.7" right="0.7" top="0.75" bottom="0.75" header="0.3" footer="0.3"/>
  <pageSetup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22</vt:i4>
      </vt:variant>
    </vt:vector>
  </HeadingPairs>
  <TitlesOfParts>
    <vt:vector size="22" baseType="lpstr">
      <vt:lpstr>Generales</vt:lpstr>
      <vt:lpstr>Liquidación Laboral</vt:lpstr>
      <vt:lpstr>Calendario Tributario</vt:lpstr>
      <vt:lpstr>Resoluciones de Tarifas</vt:lpstr>
      <vt:lpstr>Recaudo</vt:lpstr>
      <vt:lpstr>Fondo (Recaudo + Aporte)</vt:lpstr>
      <vt:lpstr>Admin. Justicia</vt:lpstr>
      <vt:lpstr>10% RC</vt:lpstr>
      <vt:lpstr>Retefuente</vt:lpstr>
      <vt:lpstr>APORTE ESPE</vt:lpstr>
      <vt:lpstr>IVA - Bimestral</vt:lpstr>
      <vt:lpstr>IVA - Cuatrimestral</vt:lpstr>
      <vt:lpstr>EXOGENA</vt:lpstr>
      <vt:lpstr>Ind. Comercio</vt:lpstr>
      <vt:lpstr>Impuesto Timbre</vt:lpstr>
      <vt:lpstr>Liquidador</vt:lpstr>
      <vt:lpstr>Hoja de control</vt:lpstr>
      <vt:lpstr>Servicios por cuantia</vt:lpstr>
      <vt:lpstr>Hoja1</vt:lpstr>
      <vt:lpstr>2024</vt:lpstr>
      <vt:lpstr>Formato 2B RC</vt:lpstr>
      <vt:lpstr>Reporte ICBF-Otros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Servidor</dc:creator>
  <cp:lastModifiedBy>usuario</cp:lastModifiedBy>
  <cp:lastPrinted>2019-04-15T18:35:37Z</cp:lastPrinted>
  <dcterms:created xsi:type="dcterms:W3CDTF">2019-04-09T19:26:44Z</dcterms:created>
  <dcterms:modified xsi:type="dcterms:W3CDTF">2026-01-02T19:42:52Z</dcterms:modified>
</cp:coreProperties>
</file>